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w_Sales_Data" sheetId="2" state="visible" r:id="rId4"/>
    <sheet name="Cleaned_Data" sheetId="3" state="visible" r:id="rId5"/>
    <sheet name="Lookup_Tables" sheetId="4" state="visible" r:id="rId6"/>
    <sheet name="Advanced_Functions" sheetId="5" state="visible" r:id="rId7"/>
    <sheet name="Financial_Model" sheetId="6" state="visible" r:id="rId8"/>
    <sheet name="Forecast" sheetId="7" state="visible" r:id="rId9"/>
    <sheet name="Dashboard" sheetId="8" state="visible" r:id="rId10"/>
    <sheet name="Executive_Summar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<sst xmlns="http://schemas.openxmlformats.org/spreadsheetml/2006/main" count="3243" uniqueCount="594">
  <si>
    <t xml:space="preserve">Enterprise Sales Performance &amp; Financial Analytics Dashboard</t>
  </si>
  <si>
    <t xml:space="preserve">Sumerix Global — Data Analytics &amp; Business Intelligence Internship — Task 2 Mini Project</t>
  </si>
  <si>
    <t xml:space="preserve">Objective</t>
  </si>
  <si>
    <t xml:space="preserve">Consolidate multi-region sales, cost and budget data into a single Excel analytics solution: advanced formulas, a cleaned data model, financial analysis, forecasting and an executive dashboard.</t>
  </si>
  <si>
    <t xml:space="preserve">Workbook Map</t>
  </si>
  <si>
    <t xml:space="preserve">  Raw_Sales_Data</t>
  </si>
  <si>
    <t xml:space="preserve">Untransformed source export (246 rows) — contains the duplicates, blank Units, and inconsistent Region casing found in real exports.</t>
  </si>
  <si>
    <t xml:space="preserve">  Cleaned_Data</t>
  </si>
  <si>
    <t xml:space="preserve">Result of the ETL pass: duplicates removed, blanks imputed, Region text standardized, plus calculated columns (Gross Sales, Discounts, Net Sales, COGS, Gross Profit, Margin %).</t>
  </si>
  <si>
    <t xml:space="preserve">  Lookup_Tables</t>
  </si>
  <si>
    <t xml:space="preserve">Product, Region and Segment master lists, and the Monthly Budget table used for Budget-vs-Actual analysis — the equivalent of a Power Pivot data model's dimension tables.</t>
  </si>
  <si>
    <t xml:space="preserve">  Advanced_Functions</t>
  </si>
  <si>
    <t xml:space="preserve">Worked examples of XLOOKUP-style lookups (via INDEX/MATCH), SUMIFS, COUNTIFS, AVERAGEIFS, IFS, TEXTJOIN and SUMPRODUCT against Cleaned_Data.</t>
  </si>
  <si>
    <t xml:space="preserve">  Financial_Model</t>
  </si>
  <si>
    <t xml:space="preserve">Month x Region revenue, COGS, gross profit, operating expense, budget variance and MoM/YoY growth — all formula-driven.</t>
  </si>
  <si>
    <t xml:space="preserve">  Forecast</t>
  </si>
  <si>
    <t xml:space="preserve">3-month moving average and linear-trend (SLOPE/INTERCEPT) revenue forecast for Q1 2026, with a What-If Analysis input cell.</t>
  </si>
  <si>
    <t xml:space="preserve">  Dashboard</t>
  </si>
  <si>
    <t xml:space="preserve">Executive KPI cards, regional and product performance charts, and the Budget vs Actual chart.</t>
  </si>
  <si>
    <t xml:space="preserve">  Executive_Summary</t>
  </si>
  <si>
    <t xml:space="preserve">Narrative business insights answering the brief's four guiding questions.</t>
  </si>
  <si>
    <t xml:space="preserve">A note on Power Query / Power Pivot</t>
  </si>
  <si>
    <t xml:space="preserve">This file is a static .xlsx built programmatically, so it cannot embed live Power Query M-code queries or a native Power Pivot xVelocity model — those only exist inside an open Excel session. The ETL logic that a Power Query query would perform (remove duplicates, handle blanks, standardize text) has been applied to produce Cleaned_Data, and the Lookup_Tables relationships mirror what a Power Pivot data model's Region/Product/Segment dimension tables would look like. To turn this into a live Power Query/Power Pivot workbook: Data &gt; Get Data &gt; From Table/Range on Raw_Sales_Data, replicate the steps in Query Editor, then Insert &gt; PivotTable &gt; Add to Data Model, and build relationships to Lookup_Tables.</t>
  </si>
  <si>
    <t xml:space="preserve">Assumptions</t>
  </si>
  <si>
    <t xml:space="preserve">Sales figures are synthetic, generated to be internally consistent (seasonal growth, regional pricing) for practicing the techniques in Task 2 — not real company data. Budget figures in Lookup_Tables are set at Actual +/- a plausible variance and are marked as inputs (blue text, yellow fill) for you to edit.</t>
  </si>
  <si>
    <t xml:space="preserve">How to extend</t>
  </si>
  <si>
    <t xml:space="preserve">Edit the blue/yellow input cells in Lookup_Tables (Budget) and Forecast (What-If growth %) — every dependent formula recalculates automatically.</t>
  </si>
  <si>
    <t xml:space="preserve">Raw Sales Export (Source System) — contains duplicates, blanks, inconsistent casing</t>
  </si>
  <si>
    <t xml:space="preserve">Ref No</t>
  </si>
  <si>
    <t xml:space="preserve">Date</t>
  </si>
  <si>
    <t xml:space="preserve">Region</t>
  </si>
  <si>
    <t xml:space="preserve">Product</t>
  </si>
  <si>
    <t xml:space="preserve">Category</t>
  </si>
  <si>
    <t xml:space="preserve">Segment</t>
  </si>
  <si>
    <t xml:space="preserve">Units Sold</t>
  </si>
  <si>
    <t xml:space="preserve">Manufacturing Price</t>
  </si>
  <si>
    <t xml:space="preserve">Sale Price</t>
  </si>
  <si>
    <t xml:space="preserve">Discount %</t>
  </si>
  <si>
    <t xml:space="preserve">TXN-1098</t>
  </si>
  <si>
    <t xml:space="preserve">2025-05-06</t>
  </si>
  <si>
    <t xml:space="preserve">South America</t>
  </si>
  <si>
    <t xml:space="preserve">Product C</t>
  </si>
  <si>
    <t xml:space="preserve">Home &amp; Living</t>
  </si>
  <si>
    <t xml:space="preserve">Online</t>
  </si>
  <si>
    <t xml:space="preserve">TXN-1108</t>
  </si>
  <si>
    <t xml:space="preserve">2025-06-23</t>
  </si>
  <si>
    <t xml:space="preserve">Europe</t>
  </si>
  <si>
    <t xml:space="preserve">Wholesale</t>
  </si>
  <si>
    <t xml:space="preserve">TXN-1161</t>
  </si>
  <si>
    <t xml:space="preserve">2025-09-08</t>
  </si>
  <si>
    <t xml:space="preserve">north america</t>
  </si>
  <si>
    <t xml:space="preserve">Product A</t>
  </si>
  <si>
    <t xml:space="preserve">Electronics</t>
  </si>
  <si>
    <t xml:space="preserve">TXN-1042</t>
  </si>
  <si>
    <t xml:space="preserve">2025-03-10</t>
  </si>
  <si>
    <t xml:space="preserve">North America</t>
  </si>
  <si>
    <t xml:space="preserve">Product B</t>
  </si>
  <si>
    <t xml:space="preserve">TXN-1008</t>
  </si>
  <si>
    <t xml:space="preserve">2025-01-07</t>
  </si>
  <si>
    <t xml:space="preserve">TXN-1132</t>
  </si>
  <si>
    <t xml:space="preserve">2025-07-26</t>
  </si>
  <si>
    <t xml:space="preserve">Asia</t>
  </si>
  <si>
    <t xml:space="preserve">TXN-1146</t>
  </si>
  <si>
    <t xml:space="preserve">2025-08-12</t>
  </si>
  <si>
    <t xml:space="preserve">TXN-1173</t>
  </si>
  <si>
    <t xml:space="preserve">TXN-1196</t>
  </si>
  <si>
    <t xml:space="preserve">2025-10-02</t>
  </si>
  <si>
    <t xml:space="preserve">TXN-1013</t>
  </si>
  <si>
    <t xml:space="preserve">2025-01-08</t>
  </si>
  <si>
    <t xml:space="preserve">Retail</t>
  </si>
  <si>
    <t xml:space="preserve">TXN-1035</t>
  </si>
  <si>
    <t xml:space="preserve">2025-02-14</t>
  </si>
  <si>
    <t xml:space="preserve">Product E</t>
  </si>
  <si>
    <t xml:space="preserve">Apparel</t>
  </si>
  <si>
    <t xml:space="preserve">TXN-1012</t>
  </si>
  <si>
    <t xml:space="preserve">2025-01-13</t>
  </si>
  <si>
    <t xml:space="preserve">TXN-1227</t>
  </si>
  <si>
    <t xml:space="preserve">2025-12-05</t>
  </si>
  <si>
    <t xml:space="preserve">TXN-1032</t>
  </si>
  <si>
    <t xml:space="preserve">2025-02-02</t>
  </si>
  <si>
    <t xml:space="preserve">TXN-1117</t>
  </si>
  <si>
    <t xml:space="preserve">2025-06-11</t>
  </si>
  <si>
    <t xml:space="preserve">TXN-1050</t>
  </si>
  <si>
    <t xml:space="preserve">2025-03-11</t>
  </si>
  <si>
    <t xml:space="preserve">TXN-1175</t>
  </si>
  <si>
    <t xml:space="preserve">2025-09-18</t>
  </si>
  <si>
    <t xml:space="preserve">TXN-1038</t>
  </si>
  <si>
    <t xml:space="preserve">2025-02-09</t>
  </si>
  <si>
    <t xml:space="preserve">TXN-1046</t>
  </si>
  <si>
    <t xml:space="preserve">2025-03-20</t>
  </si>
  <si>
    <t xml:space="preserve">europe</t>
  </si>
  <si>
    <t xml:space="preserve">TXN-1001</t>
  </si>
  <si>
    <t xml:space="preserve">2025-01-24</t>
  </si>
  <si>
    <t xml:space="preserve">TXN-1111</t>
  </si>
  <si>
    <t xml:space="preserve">2025-06-27</t>
  </si>
  <si>
    <t xml:space="preserve">TXN-1215</t>
  </si>
  <si>
    <t xml:space="preserve">2025-11-09</t>
  </si>
  <si>
    <t xml:space="preserve">TXN-1052</t>
  </si>
  <si>
    <t xml:space="preserve">2025-03-03</t>
  </si>
  <si>
    <t xml:space="preserve">TXN-1137</t>
  </si>
  <si>
    <t xml:space="preserve">2025-07-22</t>
  </si>
  <si>
    <t xml:space="preserve">TXN-1043</t>
  </si>
  <si>
    <t xml:space="preserve">2025-03-07</t>
  </si>
  <si>
    <t xml:space="preserve">TXN-1120</t>
  </si>
  <si>
    <t xml:space="preserve">2025-06-03</t>
  </si>
  <si>
    <t xml:space="preserve">TXN-1136</t>
  </si>
  <si>
    <t xml:space="preserve">2025-07-23</t>
  </si>
  <si>
    <t xml:space="preserve">TXN-1051</t>
  </si>
  <si>
    <t xml:space="preserve">TXN-1118</t>
  </si>
  <si>
    <t xml:space="preserve">2025-06-01</t>
  </si>
  <si>
    <t xml:space="preserve">TXN-1063</t>
  </si>
  <si>
    <t xml:space="preserve">2025-04-24</t>
  </si>
  <si>
    <t xml:space="preserve">TXN-1184</t>
  </si>
  <si>
    <t xml:space="preserve">2025-10-14</t>
  </si>
  <si>
    <t xml:space="preserve">Product D</t>
  </si>
  <si>
    <t xml:space="preserve">TXN-1234</t>
  </si>
  <si>
    <t xml:space="preserve">2025-12-13</t>
  </si>
  <si>
    <t xml:space="preserve">TXN-1003</t>
  </si>
  <si>
    <t xml:space="preserve">TXN-1009</t>
  </si>
  <si>
    <t xml:space="preserve">2025-01-28</t>
  </si>
  <si>
    <t xml:space="preserve">TXN-1082</t>
  </si>
  <si>
    <t xml:space="preserve">2025-05-08</t>
  </si>
  <si>
    <t xml:space="preserve">TXN-1103</t>
  </si>
  <si>
    <t xml:space="preserve">2025-06-21</t>
  </si>
  <si>
    <t xml:space="preserve">TXN-1239</t>
  </si>
  <si>
    <t xml:space="preserve">2025-12-25</t>
  </si>
  <si>
    <t xml:space="preserve">TXN-1075</t>
  </si>
  <si>
    <t xml:space="preserve">2025-04-13</t>
  </si>
  <si>
    <t xml:space="preserve">TXN-1185</t>
  </si>
  <si>
    <t xml:space="preserve">2025-10-09</t>
  </si>
  <si>
    <t xml:space="preserve">TXN-1106</t>
  </si>
  <si>
    <t xml:space="preserve">2025-06-20</t>
  </si>
  <si>
    <t xml:space="preserve">TXN-1192</t>
  </si>
  <si>
    <t xml:space="preserve">TXN-1056</t>
  </si>
  <si>
    <t xml:space="preserve">2025-03-22</t>
  </si>
  <si>
    <t xml:space="preserve">TXN-1216</t>
  </si>
  <si>
    <t xml:space="preserve">2025-11-03</t>
  </si>
  <si>
    <t xml:space="preserve">TXN-1066</t>
  </si>
  <si>
    <t xml:space="preserve">2025-04-08</t>
  </si>
  <si>
    <t xml:space="preserve">TXN-1159</t>
  </si>
  <si>
    <t xml:space="preserve">2025-08-15</t>
  </si>
  <si>
    <t xml:space="preserve">TXN-1059</t>
  </si>
  <si>
    <t xml:space="preserve">2025-03-01</t>
  </si>
  <si>
    <t xml:space="preserve">TXN-1205</t>
  </si>
  <si>
    <t xml:space="preserve">2025-11-05</t>
  </si>
  <si>
    <t xml:space="preserve">TXN-1004</t>
  </si>
  <si>
    <t xml:space="preserve">2025-01-23</t>
  </si>
  <si>
    <t xml:space="preserve">TXN-1198</t>
  </si>
  <si>
    <t xml:space="preserve">2025-10-13</t>
  </si>
  <si>
    <t xml:space="preserve">SOUTH AMERICA</t>
  </si>
  <si>
    <t xml:space="preserve">TXN-1002</t>
  </si>
  <si>
    <t xml:space="preserve">2025-01-01</t>
  </si>
  <si>
    <t xml:space="preserve">TXN-1023</t>
  </si>
  <si>
    <t xml:space="preserve">2025-02-07</t>
  </si>
  <si>
    <t xml:space="preserve">TXN-1081</t>
  </si>
  <si>
    <t xml:space="preserve">2025-05-10</t>
  </si>
  <si>
    <t xml:space="preserve">TXN-1229</t>
  </si>
  <si>
    <t xml:space="preserve">2025-12-12</t>
  </si>
  <si>
    <t xml:space="preserve">TXN-1179</t>
  </si>
  <si>
    <t xml:space="preserve">2025-09-01</t>
  </si>
  <si>
    <t xml:space="preserve">TXN-1028</t>
  </si>
  <si>
    <t xml:space="preserve">TXN-1202</t>
  </si>
  <si>
    <t xml:space="preserve">2025-11-26</t>
  </si>
  <si>
    <t xml:space="preserve">TXN-1230</t>
  </si>
  <si>
    <t xml:space="preserve">2025-12-17</t>
  </si>
  <si>
    <t xml:space="preserve">TXN-1072</t>
  </si>
  <si>
    <t xml:space="preserve">2025-04-02</t>
  </si>
  <si>
    <t xml:space="preserve">TXN-1236</t>
  </si>
  <si>
    <t xml:space="preserve">2025-12-04</t>
  </si>
  <si>
    <t xml:space="preserve">TXN-1029</t>
  </si>
  <si>
    <t xml:space="preserve">2025-02-22</t>
  </si>
  <si>
    <t xml:space="preserve">TXN-1165</t>
  </si>
  <si>
    <t xml:space="preserve">2025-09-28</t>
  </si>
  <si>
    <t xml:space="preserve">TXN-1212</t>
  </si>
  <si>
    <t xml:space="preserve">2025-11-17</t>
  </si>
  <si>
    <t xml:space="preserve">TXN-1181</t>
  </si>
  <si>
    <t xml:space="preserve">2025-10-08</t>
  </si>
  <si>
    <t xml:space="preserve">TXN-1191</t>
  </si>
  <si>
    <t xml:space="preserve">2025-10-21</t>
  </si>
  <si>
    <t xml:space="preserve">TXN-1178</t>
  </si>
  <si>
    <t xml:space="preserve">2025-09-19</t>
  </si>
  <si>
    <t xml:space="preserve">TXN-1200</t>
  </si>
  <si>
    <t xml:space="preserve">2025-10-26</t>
  </si>
  <si>
    <t xml:space="preserve">TXN-1067</t>
  </si>
  <si>
    <t xml:space="preserve">2025-04-01</t>
  </si>
  <si>
    <t xml:space="preserve">TXN-1176</t>
  </si>
  <si>
    <t xml:space="preserve">2025-09-10</t>
  </si>
  <si>
    <t xml:space="preserve">TXN-1084</t>
  </si>
  <si>
    <t xml:space="preserve">2025-05-21</t>
  </si>
  <si>
    <t xml:space="preserve">TXN-1062</t>
  </si>
  <si>
    <t xml:space="preserve">2025-04-22</t>
  </si>
  <si>
    <t xml:space="preserve">TXN-1007</t>
  </si>
  <si>
    <t xml:space="preserve">2025-01-10</t>
  </si>
  <si>
    <t xml:space="preserve">TXN-1209</t>
  </si>
  <si>
    <t xml:space="preserve">2025-11-04</t>
  </si>
  <si>
    <t xml:space="preserve">TXN-1187</t>
  </si>
  <si>
    <t xml:space="preserve">2025-10-24</t>
  </si>
  <si>
    <t xml:space="preserve">TXN-1128</t>
  </si>
  <si>
    <t xml:space="preserve">2025-07-28</t>
  </si>
  <si>
    <t xml:space="preserve">TXN-1110</t>
  </si>
  <si>
    <t xml:space="preserve">2025-06-12</t>
  </si>
  <si>
    <t xml:space="preserve">TXN-1054</t>
  </si>
  <si>
    <t xml:space="preserve">TXN-1090</t>
  </si>
  <si>
    <t xml:space="preserve">2025-05-09</t>
  </si>
  <si>
    <t xml:space="preserve">TXN-1127</t>
  </si>
  <si>
    <t xml:space="preserve">EUROPE</t>
  </si>
  <si>
    <t xml:space="preserve">TXN-1112</t>
  </si>
  <si>
    <t xml:space="preserve">TXN-1092</t>
  </si>
  <si>
    <t xml:space="preserve">2025-05-05</t>
  </si>
  <si>
    <t xml:space="preserve">TXN-1060</t>
  </si>
  <si>
    <t xml:space="preserve">2025-03-02</t>
  </si>
  <si>
    <t xml:space="preserve">TXN-1189</t>
  </si>
  <si>
    <t xml:space="preserve">TXN-1226</t>
  </si>
  <si>
    <t xml:space="preserve">2025-12-06</t>
  </si>
  <si>
    <t xml:space="preserve">TXN-1048</t>
  </si>
  <si>
    <t xml:space="preserve">2025-03-19</t>
  </si>
  <si>
    <t xml:space="preserve">TXN-1168</t>
  </si>
  <si>
    <t xml:space="preserve">2025-09-02</t>
  </si>
  <si>
    <t xml:space="preserve">TXN-1061</t>
  </si>
  <si>
    <t xml:space="preserve">2025-04-26</t>
  </si>
  <si>
    <t xml:space="preserve">TXN-1207</t>
  </si>
  <si>
    <t xml:space="preserve">2025-11-24</t>
  </si>
  <si>
    <t xml:space="preserve">TXN-1123</t>
  </si>
  <si>
    <t xml:space="preserve">2025-07-04</t>
  </si>
  <si>
    <t xml:space="preserve">TXN-1069</t>
  </si>
  <si>
    <t xml:space="preserve">TXN-1030</t>
  </si>
  <si>
    <t xml:space="preserve">2025-02-04</t>
  </si>
  <si>
    <t xml:space="preserve">TXN-1133</t>
  </si>
  <si>
    <t xml:space="preserve">2025-07-14</t>
  </si>
  <si>
    <t xml:space="preserve">TXN-1220</t>
  </si>
  <si>
    <t xml:space="preserve">TXN-1079</t>
  </si>
  <si>
    <t xml:space="preserve">2025-04-16</t>
  </si>
  <si>
    <t xml:space="preserve">TXN-1163</t>
  </si>
  <si>
    <t xml:space="preserve">TXN-1031</t>
  </si>
  <si>
    <t xml:space="preserve">2025-02-01</t>
  </si>
  <si>
    <t xml:space="preserve">TXN-1102</t>
  </si>
  <si>
    <t xml:space="preserve">TXN-1177</t>
  </si>
  <si>
    <t xml:space="preserve">TXN-1138</t>
  </si>
  <si>
    <t xml:space="preserve">TXN-1053</t>
  </si>
  <si>
    <t xml:space="preserve">2025-03-26</t>
  </si>
  <si>
    <t xml:space="preserve">TXN-1006</t>
  </si>
  <si>
    <t xml:space="preserve">2025-01-26</t>
  </si>
  <si>
    <t xml:space="preserve">TXN-1057</t>
  </si>
  <si>
    <t xml:space="preserve">2025-03-21</t>
  </si>
  <si>
    <t xml:space="preserve">TXN-1140</t>
  </si>
  <si>
    <t xml:space="preserve">2025-07-27</t>
  </si>
  <si>
    <t xml:space="preserve">TXN-1238</t>
  </si>
  <si>
    <t xml:space="preserve">2025-12-19</t>
  </si>
  <si>
    <t xml:space="preserve">TXN-1104</t>
  </si>
  <si>
    <t xml:space="preserve">2025-06-08</t>
  </si>
  <si>
    <t xml:space="preserve">TXN-1115</t>
  </si>
  <si>
    <t xml:space="preserve">2025-06-15</t>
  </si>
  <si>
    <t xml:space="preserve">TXN-1199</t>
  </si>
  <si>
    <t xml:space="preserve">2025-10-07</t>
  </si>
  <si>
    <t xml:space="preserve">TXN-1089</t>
  </si>
  <si>
    <t xml:space="preserve">2025-05-28</t>
  </si>
  <si>
    <t xml:space="preserve">TXN-1124</t>
  </si>
  <si>
    <t xml:space="preserve">2025-07-07</t>
  </si>
  <si>
    <t xml:space="preserve">TXN-1145</t>
  </si>
  <si>
    <t xml:space="preserve">2025-08-19</t>
  </si>
  <si>
    <t xml:space="preserve">TXN-1160</t>
  </si>
  <si>
    <t xml:space="preserve">2025-08-13</t>
  </si>
  <si>
    <t xml:space="preserve">TXN-1194</t>
  </si>
  <si>
    <t xml:space="preserve">2025-10-22</t>
  </si>
  <si>
    <t xml:space="preserve">TXN-1206</t>
  </si>
  <si>
    <t xml:space="preserve">2025-11-15</t>
  </si>
  <si>
    <t xml:space="preserve">TXN-1077</t>
  </si>
  <si>
    <t xml:space="preserve">2025-04-18</t>
  </si>
  <si>
    <t xml:space="preserve">TXN-1170</t>
  </si>
  <si>
    <t xml:space="preserve">2025-09-06</t>
  </si>
  <si>
    <t xml:space="preserve">TXN-1139</t>
  </si>
  <si>
    <t xml:space="preserve">2025-07-03</t>
  </si>
  <si>
    <t xml:space="preserve">TXN-1126</t>
  </si>
  <si>
    <t xml:space="preserve">2025-07-10</t>
  </si>
  <si>
    <t xml:space="preserve">TXN-1044</t>
  </si>
  <si>
    <t xml:space="preserve">2025-03-18</t>
  </si>
  <si>
    <t xml:space="preserve">TXN-1148</t>
  </si>
  <si>
    <t xml:space="preserve">TXN-1141</t>
  </si>
  <si>
    <t xml:space="preserve">2025-08-17</t>
  </si>
  <si>
    <t xml:space="preserve">TXN-1068</t>
  </si>
  <si>
    <t xml:space="preserve">2025-04-25</t>
  </si>
  <si>
    <t xml:space="preserve">TXN-1228</t>
  </si>
  <si>
    <t xml:space="preserve">2025-12-15</t>
  </si>
  <si>
    <t xml:space="preserve">TXN-1107</t>
  </si>
  <si>
    <t xml:space="preserve">2025-06-19</t>
  </si>
  <si>
    <t xml:space="preserve">TXN-1070</t>
  </si>
  <si>
    <t xml:space="preserve">2025-04-09</t>
  </si>
  <si>
    <t xml:space="preserve">TXN-1172</t>
  </si>
  <si>
    <t xml:space="preserve">2025-09-22</t>
  </si>
  <si>
    <t xml:space="preserve">TXN-1164</t>
  </si>
  <si>
    <t xml:space="preserve">TXN-1026</t>
  </si>
  <si>
    <t xml:space="preserve">2025-02-24</t>
  </si>
  <si>
    <t xml:space="preserve">TXN-1076</t>
  </si>
  <si>
    <t xml:space="preserve">TXN-1225</t>
  </si>
  <si>
    <t xml:space="preserve">2025-12-24</t>
  </si>
  <si>
    <t xml:space="preserve">TXN-1040</t>
  </si>
  <si>
    <t xml:space="preserve">2025-02-25</t>
  </si>
  <si>
    <t xml:space="preserve">south america</t>
  </si>
  <si>
    <t xml:space="preserve">TXN-1036</t>
  </si>
  <si>
    <t xml:space="preserve">2025-02-21</t>
  </si>
  <si>
    <t xml:space="preserve">TXN-1058</t>
  </si>
  <si>
    <t xml:space="preserve">2025-03-25</t>
  </si>
  <si>
    <t xml:space="preserve">TXN-1125</t>
  </si>
  <si>
    <t xml:space="preserve">TXN-1197</t>
  </si>
  <si>
    <t xml:space="preserve">TXN-1055</t>
  </si>
  <si>
    <t xml:space="preserve">2025-03-09</t>
  </si>
  <si>
    <t xml:space="preserve">TXN-1047</t>
  </si>
  <si>
    <t xml:space="preserve">TXN-1151</t>
  </si>
  <si>
    <t xml:space="preserve">2025-08-18</t>
  </si>
  <si>
    <t xml:space="preserve">TXN-1214</t>
  </si>
  <si>
    <t xml:space="preserve">2025-11-11</t>
  </si>
  <si>
    <t xml:space="preserve">TXN-1005</t>
  </si>
  <si>
    <t xml:space="preserve">TXN-1093</t>
  </si>
  <si>
    <t xml:space="preserve">2025-05-11</t>
  </si>
  <si>
    <t xml:space="preserve">TXN-1131</t>
  </si>
  <si>
    <t xml:space="preserve">2025-07-08</t>
  </si>
  <si>
    <t xml:space="preserve">TXN-1109</t>
  </si>
  <si>
    <t xml:space="preserve">TXN-1221</t>
  </si>
  <si>
    <t xml:space="preserve">TXN-1186</t>
  </si>
  <si>
    <t xml:space="preserve">TXN-1033</t>
  </si>
  <si>
    <t xml:space="preserve">2025-02-05</t>
  </si>
  <si>
    <t xml:space="preserve">TXN-1169</t>
  </si>
  <si>
    <t xml:space="preserve">2025-09-03</t>
  </si>
  <si>
    <t xml:space="preserve">TXN-1097</t>
  </si>
  <si>
    <t xml:space="preserve">2025-05-14</t>
  </si>
  <si>
    <t xml:space="preserve">TXN-1144</t>
  </si>
  <si>
    <t xml:space="preserve">2025-08-02</t>
  </si>
  <si>
    <t xml:space="preserve">TXN-1156</t>
  </si>
  <si>
    <t xml:space="preserve">2025-08-05</t>
  </si>
  <si>
    <t xml:space="preserve">TXN-1195</t>
  </si>
  <si>
    <t xml:space="preserve">asia</t>
  </si>
  <si>
    <t xml:space="preserve">TXN-1223</t>
  </si>
  <si>
    <t xml:space="preserve">TXN-1034</t>
  </si>
  <si>
    <t xml:space="preserve">2025-02-08</t>
  </si>
  <si>
    <t xml:space="preserve">TXN-1101</t>
  </si>
  <si>
    <t xml:space="preserve">2025-06-25</t>
  </si>
  <si>
    <t xml:space="preserve">TXN-1233</t>
  </si>
  <si>
    <t xml:space="preserve">2025-12-08</t>
  </si>
  <si>
    <t xml:space="preserve">TXN-1037</t>
  </si>
  <si>
    <t xml:space="preserve">TXN-1150</t>
  </si>
  <si>
    <t xml:space="preserve">TXN-1021</t>
  </si>
  <si>
    <t xml:space="preserve">2025-02-10</t>
  </si>
  <si>
    <t xml:space="preserve">TXN-1171</t>
  </si>
  <si>
    <t xml:space="preserve">2025-09-12</t>
  </si>
  <si>
    <t xml:space="preserve">TXN-1201</t>
  </si>
  <si>
    <t xml:space="preserve">2025-11-19</t>
  </si>
  <si>
    <t xml:space="preserve">TXN-1240</t>
  </si>
  <si>
    <t xml:space="preserve">TXN-1065</t>
  </si>
  <si>
    <t xml:space="preserve">2025-04-06</t>
  </si>
  <si>
    <t xml:space="preserve">TXN-1180</t>
  </si>
  <si>
    <t xml:space="preserve">2025-09-24</t>
  </si>
  <si>
    <t xml:space="preserve">TXN-1217</t>
  </si>
  <si>
    <t xml:space="preserve">2025-11-02</t>
  </si>
  <si>
    <t xml:space="preserve">TXN-1143</t>
  </si>
  <si>
    <t xml:space="preserve">2025-08-01</t>
  </si>
  <si>
    <t xml:space="preserve">TXN-1025</t>
  </si>
  <si>
    <t xml:space="preserve">TXN-1085</t>
  </si>
  <si>
    <t xml:space="preserve">TXN-1017</t>
  </si>
  <si>
    <t xml:space="preserve">2025-01-05</t>
  </si>
  <si>
    <t xml:space="preserve">TXN-1086</t>
  </si>
  <si>
    <t xml:space="preserve">2025-05-18</t>
  </si>
  <si>
    <t xml:space="preserve">TXN-1193</t>
  </si>
  <si>
    <t xml:space="preserve">TXN-1232</t>
  </si>
  <si>
    <t xml:space="preserve">2025-12-11</t>
  </si>
  <si>
    <t xml:space="preserve">TXN-1014</t>
  </si>
  <si>
    <t xml:space="preserve">2025-01-03</t>
  </si>
  <si>
    <t xml:space="preserve">TXN-1154</t>
  </si>
  <si>
    <t xml:space="preserve">2025-08-04</t>
  </si>
  <si>
    <t xml:space="preserve">TXN-1174</t>
  </si>
  <si>
    <t xml:space="preserve">2025-09-21</t>
  </si>
  <si>
    <t xml:space="preserve">TXN-1087</t>
  </si>
  <si>
    <t xml:space="preserve">2025-05-20</t>
  </si>
  <si>
    <t xml:space="preserve">TXN-1105</t>
  </si>
  <si>
    <t xml:space="preserve">2025-06-07</t>
  </si>
  <si>
    <t xml:space="preserve">TXN-1100</t>
  </si>
  <si>
    <t xml:space="preserve">TXN-1073</t>
  </si>
  <si>
    <t xml:space="preserve">2025-04-14</t>
  </si>
  <si>
    <t xml:space="preserve">TXN-1096</t>
  </si>
  <si>
    <t xml:space="preserve">TXN-1094</t>
  </si>
  <si>
    <t xml:space="preserve">2025-05-13</t>
  </si>
  <si>
    <t xml:space="preserve">TXN-1041</t>
  </si>
  <si>
    <t xml:space="preserve">2025-03-06</t>
  </si>
  <si>
    <t xml:space="preserve">TXN-1157</t>
  </si>
  <si>
    <t xml:space="preserve">2025-08-25</t>
  </si>
  <si>
    <t xml:space="preserve">TXN-1134</t>
  </si>
  <si>
    <t xml:space="preserve">TXN-1135</t>
  </si>
  <si>
    <t xml:space="preserve">2025-07-06</t>
  </si>
  <si>
    <t xml:space="preserve">TXN-1188</t>
  </si>
  <si>
    <t xml:space="preserve">2025-10-03</t>
  </si>
  <si>
    <t xml:space="preserve">TXN-1210</t>
  </si>
  <si>
    <t xml:space="preserve">TXN-1182</t>
  </si>
  <si>
    <t xml:space="preserve">2025-10-04</t>
  </si>
  <si>
    <t xml:space="preserve">TXN-1064</t>
  </si>
  <si>
    <t xml:space="preserve">TXN-1211</t>
  </si>
  <si>
    <t xml:space="preserve">TXN-1045</t>
  </si>
  <si>
    <t xml:space="preserve">TXN-1224</t>
  </si>
  <si>
    <t xml:space="preserve">2025-12-01</t>
  </si>
  <si>
    <t xml:space="preserve">TXN-1218</t>
  </si>
  <si>
    <t xml:space="preserve">TXN-1022</t>
  </si>
  <si>
    <t xml:space="preserve">TXN-1183</t>
  </si>
  <si>
    <t xml:space="preserve">TXN-1088</t>
  </si>
  <si>
    <t xml:space="preserve">2025-05-27</t>
  </si>
  <si>
    <t xml:space="preserve">TXN-1027</t>
  </si>
  <si>
    <t xml:space="preserve">2025-02-16</t>
  </si>
  <si>
    <t xml:space="preserve">TXN-1016</t>
  </si>
  <si>
    <t xml:space="preserve">2025-01-18</t>
  </si>
  <si>
    <t xml:space="preserve">TXN-1039</t>
  </si>
  <si>
    <t xml:space="preserve">TXN-1129</t>
  </si>
  <si>
    <t xml:space="preserve">TXN-1122</t>
  </si>
  <si>
    <t xml:space="preserve">2025-07-12</t>
  </si>
  <si>
    <t xml:space="preserve">TXN-1155</t>
  </si>
  <si>
    <t xml:space="preserve">2025-08-27</t>
  </si>
  <si>
    <t xml:space="preserve">ASIA</t>
  </si>
  <si>
    <t xml:space="preserve">TXN-1083</t>
  </si>
  <si>
    <t xml:space="preserve">2025-05-23</t>
  </si>
  <si>
    <t xml:space="preserve">TXN-1049</t>
  </si>
  <si>
    <t xml:space="preserve">TXN-1167</t>
  </si>
  <si>
    <t xml:space="preserve">2025-09-11</t>
  </si>
  <si>
    <t xml:space="preserve">TXN-1147</t>
  </si>
  <si>
    <t xml:space="preserve">2025-08-16</t>
  </si>
  <si>
    <t xml:space="preserve">TXN-1208</t>
  </si>
  <si>
    <t xml:space="preserve">TXN-1231</t>
  </si>
  <si>
    <t xml:space="preserve">2025-12-10</t>
  </si>
  <si>
    <t xml:space="preserve">TXN-1011</t>
  </si>
  <si>
    <t xml:space="preserve">2025-01-21</t>
  </si>
  <si>
    <t xml:space="preserve">TXN-1190</t>
  </si>
  <si>
    <t xml:space="preserve">TXN-1203</t>
  </si>
  <si>
    <t xml:space="preserve">TXN-1142</t>
  </si>
  <si>
    <t xml:space="preserve">2025-08-14</t>
  </si>
  <si>
    <t xml:space="preserve">TXN-1149</t>
  </si>
  <si>
    <t xml:space="preserve">2025-08-22</t>
  </si>
  <si>
    <t xml:space="preserve">TXN-1099</t>
  </si>
  <si>
    <t xml:space="preserve">2025-05-19</t>
  </si>
  <si>
    <t xml:space="preserve">TXN-1235</t>
  </si>
  <si>
    <t xml:space="preserve">2025-12-14</t>
  </si>
  <si>
    <t xml:space="preserve">TXN-1153</t>
  </si>
  <si>
    <t xml:space="preserve">TXN-1158</t>
  </si>
  <si>
    <t xml:space="preserve">TXN-1024</t>
  </si>
  <si>
    <t xml:space="preserve">TXN-1219</t>
  </si>
  <si>
    <t xml:space="preserve">2025-11-20</t>
  </si>
  <si>
    <t xml:space="preserve">TXN-1222</t>
  </si>
  <si>
    <t xml:space="preserve">TXN-1166</t>
  </si>
  <si>
    <t xml:space="preserve">TXN-1020</t>
  </si>
  <si>
    <t xml:space="preserve">TXN-1074</t>
  </si>
  <si>
    <t xml:space="preserve">2025-04-11</t>
  </si>
  <si>
    <t xml:space="preserve">TXN-1213</t>
  </si>
  <si>
    <t xml:space="preserve">2025-11-28</t>
  </si>
  <si>
    <t xml:space="preserve">TXN-1095</t>
  </si>
  <si>
    <t xml:space="preserve">2025-05-16</t>
  </si>
  <si>
    <t xml:space="preserve">TXN-1237</t>
  </si>
  <si>
    <t xml:space="preserve">TXN-1010</t>
  </si>
  <si>
    <t xml:space="preserve">2025-01-12</t>
  </si>
  <si>
    <t xml:space="preserve">TXN-1116</t>
  </si>
  <si>
    <t xml:space="preserve">2025-06-13</t>
  </si>
  <si>
    <t xml:space="preserve">TXN-1119</t>
  </si>
  <si>
    <t xml:space="preserve">TXN-1080</t>
  </si>
  <si>
    <t xml:space="preserve">2025-04-03</t>
  </si>
  <si>
    <t xml:space="preserve">TXN-1019</t>
  </si>
  <si>
    <t xml:space="preserve">2025-01-15</t>
  </si>
  <si>
    <t xml:space="preserve">TXN-1130</t>
  </si>
  <si>
    <t xml:space="preserve">TXN-1091</t>
  </si>
  <si>
    <t xml:space="preserve">TXN-1015</t>
  </si>
  <si>
    <t xml:space="preserve">TXN-1152</t>
  </si>
  <si>
    <t xml:space="preserve">TXN-1071</t>
  </si>
  <si>
    <t xml:space="preserve">2025-04-17</t>
  </si>
  <si>
    <t xml:space="preserve">TXN-1204</t>
  </si>
  <si>
    <t xml:space="preserve">2025-11-01</t>
  </si>
  <si>
    <t xml:space="preserve">TXN-1078</t>
  </si>
  <si>
    <t xml:space="preserve">TXN-1162</t>
  </si>
  <si>
    <t xml:space="preserve">2025-09-16</t>
  </si>
  <si>
    <t xml:space="preserve">TXN-1114</t>
  </si>
  <si>
    <t xml:space="preserve">TXN-1121</t>
  </si>
  <si>
    <t xml:space="preserve">2025-07-18</t>
  </si>
  <si>
    <t xml:space="preserve">TXN-1018</t>
  </si>
  <si>
    <t xml:space="preserve">TXN-1113</t>
  </si>
  <si>
    <t xml:space="preserve">2025-06-26</t>
  </si>
  <si>
    <t xml:space="preserve">Cleaned &amp; Transformed Data (ETL output) — duplicates removed, blanks imputed, calculated columns added</t>
  </si>
  <si>
    <t xml:space="preserve">Month</t>
  </si>
  <si>
    <t xml:space="preserve">Manuf. Price</t>
  </si>
  <si>
    <t xml:space="preserve">Gross Sales</t>
  </si>
  <si>
    <t xml:space="preserve">Discount Amt</t>
  </si>
  <si>
    <t xml:space="preserve">Net Sales</t>
  </si>
  <si>
    <t xml:space="preserve">COGS</t>
  </si>
  <si>
    <t xml:space="preserve">Gross Profit</t>
  </si>
  <si>
    <t xml:space="preserve">Margin %</t>
  </si>
  <si>
    <t xml:space="preserve">Data Model — Dimension Tables &amp; Monthly Budget (Power Pivot equivalent)</t>
  </si>
  <si>
    <t xml:space="preserve">Product Master</t>
  </si>
  <si>
    <t xml:space="preserve">Monthly Budget (Input — edit blue/yellow cells)</t>
  </si>
  <si>
    <t xml:space="preserve">Target Margin %</t>
  </si>
  <si>
    <t xml:space="preserve">Budget Revenue</t>
  </si>
  <si>
    <t xml:space="preserve">Budget Expense</t>
  </si>
  <si>
    <t xml:space="preserve">Actual Revenue (link)</t>
  </si>
  <si>
    <t xml:space="preserve">Actual Expense (link)</t>
  </si>
  <si>
    <t xml:space="preserve">Jan-2025</t>
  </si>
  <si>
    <t xml:space="preserve">Feb-2025</t>
  </si>
  <si>
    <t xml:space="preserve">Region Master</t>
  </si>
  <si>
    <t xml:space="preserve">Regional Manager</t>
  </si>
  <si>
    <t xml:space="preserve">Mar-2025</t>
  </si>
  <si>
    <t xml:space="preserve">J. Alvarez</t>
  </si>
  <si>
    <t xml:space="preserve">S. Novak</t>
  </si>
  <si>
    <t xml:space="preserve">R. Tan</t>
  </si>
  <si>
    <t xml:space="preserve">M. Duarte</t>
  </si>
  <si>
    <t xml:space="preserve">Apr-2025</t>
  </si>
  <si>
    <t xml:space="preserve">Segment Master</t>
  </si>
  <si>
    <t xml:space="preserve">May-2025</t>
  </si>
  <si>
    <t xml:space="preserve">Jun-2025</t>
  </si>
  <si>
    <t xml:space="preserve">Jul-2025</t>
  </si>
  <si>
    <t xml:space="preserve">Aug-2025</t>
  </si>
  <si>
    <t xml:space="preserve">Sep-2025</t>
  </si>
  <si>
    <t xml:space="preserve">Oct-2025</t>
  </si>
  <si>
    <t xml:space="preserve">Nov-2025</t>
  </si>
  <si>
    <t xml:space="preserve">Dec-2025</t>
  </si>
  <si>
    <t xml:space="preserve">Advanced Excel Functions — Worked Examples (Part A)</t>
  </si>
  <si>
    <t xml:space="preserve">#</t>
  </si>
  <si>
    <t xml:space="preserve">Function(s)</t>
  </si>
  <si>
    <t xml:space="preserve">Business Question</t>
  </si>
  <si>
    <t xml:space="preserve">Formula</t>
  </si>
  <si>
    <t xml:space="preserve">Result</t>
  </si>
  <si>
    <t xml:space="preserve">1</t>
  </si>
  <si>
    <t xml:space="preserve">INDEX + MATCH (lookup)</t>
  </si>
  <si>
    <t xml:space="preserve">What is Product C's target margin %?</t>
  </si>
  <si>
    <t xml:space="preserve"> =INDEX(Lookup_Tables!$C$5:$C$9,MATCH("Product C",Lookup_Tables!$A$5:$A$9,0))</t>
  </si>
  <si>
    <t xml:space="preserve">2</t>
  </si>
  <si>
    <t xml:space="preserve">SUMIFS</t>
  </si>
  <si>
    <t xml:space="preserve">Total Net Sales for Asia, Product A</t>
  </si>
  <si>
    <t xml:space="preserve"> =SUMIFS(Cleaned_Data!$N$4:$N$243,Cleaned_Data!$D$4:$D$243,"Asia",Cleaned_Data!$E$4:$E$243,"Product A")</t>
  </si>
  <si>
    <t xml:space="preserve">3</t>
  </si>
  <si>
    <t xml:space="preserve">COUNTIFS</t>
  </si>
  <si>
    <t xml:space="preserve">How many transactions were Online segment in Europe?</t>
  </si>
  <si>
    <t xml:space="preserve"> =COUNTIFS(Cleaned_Data!$D$4:$D$243,"Europe",Cleaned_Data!$G$4:$G$243,"Online")</t>
  </si>
  <si>
    <t xml:space="preserve">4</t>
  </si>
  <si>
    <t xml:space="preserve">AVERAGEIFS</t>
  </si>
  <si>
    <t xml:space="preserve">Average discount % given on Product D orders</t>
  </si>
  <si>
    <t xml:space="preserve"> =AVERAGEIFS(Cleaned_Data!$K$4:$K$243,Cleaned_Data!$E$4:$E$243,"Product D")</t>
  </si>
  <si>
    <t xml:space="preserve">5</t>
  </si>
  <si>
    <t xml:space="preserve">SUMPRODUCT</t>
  </si>
  <si>
    <t xml:space="preserve">Total units sold across all regions and products (cross-check)</t>
  </si>
  <si>
    <t xml:space="preserve"> =SUMPRODUCT(--(Cleaned_Data!$H$4:$H$243&lt;&gt;""),Cleaned_Data!$H$4:$H$243)</t>
  </si>
  <si>
    <t xml:space="preserve">6</t>
  </si>
  <si>
    <t xml:space="preserve">IFERROR</t>
  </si>
  <si>
    <t xml:space="preserve">Safe margin % lookup that returns 0 instead of a divide-by-zero error</t>
  </si>
  <si>
    <t xml:space="preserve"> =IFERROR(Cleaned_Data!P4/Cleaned_Data!N4,0)</t>
  </si>
  <si>
    <t xml:space="preserve">7</t>
  </si>
  <si>
    <t xml:space="preserve">_xlfn.IFS</t>
  </si>
  <si>
    <t xml:space="preserve">Classify row 1's margin as Low/Medium/High</t>
  </si>
  <si>
    <t xml:space="preserve"> =_xlfn.IFS(Cleaned_Data!Q4&lt;0.2,"Low",Cleaned_Data!Q4&lt;0.4,"Medium",TRUE,"High")</t>
  </si>
  <si>
    <t xml:space="preserve">8</t>
  </si>
  <si>
    <t xml:space="preserve">_xlfn.TEXTJOIN</t>
  </si>
  <si>
    <t xml:space="preserve">Build a label from Region + Product for row 1</t>
  </si>
  <si>
    <t xml:space="preserve"> =_xlfn.TEXTJOIN(" - ",TRUE,Cleaned_Data!D4,Cleaned_Data!E4)</t>
  </si>
  <si>
    <t xml:space="preserve">9</t>
  </si>
  <si>
    <t xml:space="preserve">MAX / INDEX-MATCH combo</t>
  </si>
  <si>
    <t xml:space="preserve">Which region had the single highest Net Sales line item?</t>
  </si>
  <si>
    <t xml:space="preserve"> =INDEX(Cleaned_Data!$D$4:$D$243,MATCH(MAX(Cleaned_Data!$N$4:$N$243),Cleaned_Data!$N$4:$N$243,0))</t>
  </si>
  <si>
    <t xml:space="preserve">Financial Model — Monthly Revenue, Profit, Budget Variance &amp; Growth</t>
  </si>
  <si>
    <t xml:space="preserve">Total Net Revenue</t>
  </si>
  <si>
    <t xml:space="preserve">Total COGS</t>
  </si>
  <si>
    <t xml:space="preserve">Gross Margin %</t>
  </si>
  <si>
    <t xml:space="preserve">Revenue Variance $</t>
  </si>
  <si>
    <t xml:space="preserve">Revenue Variance %</t>
  </si>
  <si>
    <t xml:space="preserve">MoM Growth %</t>
  </si>
  <si>
    <t xml:space="preserve">FY 2025 Total</t>
  </si>
  <si>
    <t xml:space="preserve">Regional Performance (FY2025)</t>
  </si>
  <si>
    <t xml:space="preserve">Net Revenue</t>
  </si>
  <si>
    <t xml:space="preserve">Product Performance (FY2025)</t>
  </si>
  <si>
    <t xml:space="preserve">Revenue Forecast — 3-Month Moving Average &amp; Linear Trend (Q1 2026)</t>
  </si>
  <si>
    <t xml:space="preserve">What-If growth adjustment (applied to trend forecast):</t>
  </si>
  <si>
    <t xml:space="preserve">Trend slope</t>
  </si>
  <si>
    <t xml:space="preserve">Trend intercept</t>
  </si>
  <si>
    <t xml:space="preserve">Actual Revenue</t>
  </si>
  <si>
    <t xml:space="preserve">3-Mo Moving Avg</t>
  </si>
  <si>
    <t xml:space="preserve">Linear Trend Forecast</t>
  </si>
  <si>
    <t xml:space="preserve">Trend + What-If</t>
  </si>
  <si>
    <t xml:space="preserve">Forecast — Next 3 Months (Q1 2026)</t>
  </si>
  <si>
    <t xml:space="preserve">Trend Forecast</t>
  </si>
  <si>
    <t xml:space="preserve">Jan-2026</t>
  </si>
  <si>
    <t xml:space="preserve">Feb-2026</t>
  </si>
  <si>
    <t xml:space="preserve">Mar-2026</t>
  </si>
  <si>
    <t xml:space="preserve">FY 2025 — All Regions</t>
  </si>
  <si>
    <t xml:space="preserve">Total Gross Profit</t>
  </si>
  <si>
    <t xml:space="preserve">Avg Gross Margin %</t>
  </si>
  <si>
    <t xml:space="preserve">Revenue vs Budget</t>
  </si>
  <si>
    <t xml:space="preserve">Monthly Revenue Trend — Actual vs Budget</t>
  </si>
  <si>
    <t xml:space="preserve">Executive Summary — Business Insights</t>
  </si>
  <si>
    <t xml:space="preserve">Enterprise Sales Performance &amp; Financial Analytics Dashboard, FY2025</t>
  </si>
  <si>
    <t xml:space="preserve">1. Which products generate the highest profit?</t>
  </si>
  <si>
    <t xml:space="preserve">2. Which region has the strongest growth?</t>
  </si>
  <si>
    <t xml:space="preserve">3. What are the major business risks?</t>
  </si>
  <si>
    <t xml:space="preserve">4. What forecasting insights support strategic planning?</t>
  </si>
  <si>
    <t xml:space="preserve">Recommendations</t>
  </si>
  <si>
    <t xml:space="preserve">• Reallocate marketing spend toward the top-performing region and product pair identified above.</t>
  </si>
  <si>
    <t xml:space="preserve">• Investigate months where Revenue Variance % is negative in Financial_Model before the Q1 2026 budget is locked.</t>
  </si>
  <si>
    <t xml:space="preserve">• Standardize the discount policy — Advanced_Functions row 4 shows average discounting by product for a starting benchmark.</t>
  </si>
  <si>
    <t xml:space="preserve">• Re-run the Forecast sheet's What-If cell against the FY2026 budget target once it's set.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</si>
</sst>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0%"/>
    <numFmt numFmtId="167" formatCode="yyyy\-mm\-dd"/>
    <numFmt numFmtId="168" formatCode="0.0%"/>
    <numFmt numFmtId="169" formatCode="\$#,##0"/>
    <numFmt numFmtId="170" formatCode="\$#,##0;&quot;($&quot;#,##0\)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sz val="9"/>
      <color rgb="FF1F4E78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9F9F9"/>
      </patternFill>
    </fill>
    <fill>
      <patternFill patternType="solid">
        <fgColor rgb="FFFFF2CC"/>
        <bgColor rgb="FFF9F9F9"/>
      </patternFill>
    </fill>
    <fill>
      <patternFill patternType="solid">
        <fgColor rgb="FF2E7D32"/>
        <bgColor rgb="FF008000"/>
      </patternFill>
    </fill>
    <fill>
      <patternFill patternType="solid">
        <fgColor rgb="FFC0392B"/>
        <bgColor rgb="FFBE4B4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AB4744"/>
      <rgbColor rgb="FFFFF2CC"/>
      <rgbColor rgb="FFF2F6FA"/>
      <rgbColor rgb="FF660066"/>
      <rgbColor rgb="FFD09493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A9D18E"/>
      <rgbColor rgb="FFFFFF99"/>
      <rgbColor rgb="FF9DC3E6"/>
      <rgbColor rgb="FFF4B183"/>
      <rgbColor rgb="FFC6B7E8"/>
      <rgbColor rgb="FFFFD966"/>
      <rgbColor rgb="FF4A7EBB"/>
      <rgbColor rgb="FF33CCCC"/>
      <rgbColor rgb="FF99CC00"/>
      <rgbColor rgb="FFFFCC00"/>
      <rgbColor rgb="FFFF9900"/>
      <rgbColor rgb="FFFF6600"/>
      <rgbColor rgb="FF595959"/>
      <rgbColor rgb="FF4F81BD"/>
      <rgbColor rgb="FF003366"/>
      <rgbColor rgb="FF2E7D32"/>
      <rgbColor rgb="FF003300"/>
      <rgbColor rgb="FF333300"/>
      <rgbColor rgb="FFC0392B"/>
      <rgbColor rgb="FFBE4B48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Revenue: Actual vs Budget (FY2025)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Financial_Model!B3</c:f>
              <c:strCache>
                <c:ptCount val="1"/>
                <c:pt idx="0">
                  <c:v>Total Net Revenue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Financial_Model!$A$4:$A$15</c:f>
              <c:strCache>
                <c:ptCount val="12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</c:strCache>
            </c:strRef>
          </c:cat>
          <c:val>
            <c:numRef>
              <c:f>Financial_Model!$B$4:$B$15</c:f>
              <c:numCache>
                <c:formatCode>\$#,##0</c:formatCode>
                <c:ptCount val="12"/>
                <c:pt idx="0">
                  <c:v>245732.034</c:v>
                </c:pt>
                <c:pt idx="1">
                  <c:v>255644.9075</c:v>
                </c:pt>
                <c:pt idx="2">
                  <c:v>258393.8075</c:v>
                </c:pt>
                <c:pt idx="3">
                  <c:v>282608.573</c:v>
                </c:pt>
                <c:pt idx="4">
                  <c:v>250332.7705</c:v>
                </c:pt>
                <c:pt idx="5">
                  <c:v>250960.8175</c:v>
                </c:pt>
                <c:pt idx="6">
                  <c:v>253749.4465</c:v>
                </c:pt>
                <c:pt idx="7">
                  <c:v>261546.5445</c:v>
                </c:pt>
                <c:pt idx="8">
                  <c:v>261949.2365</c:v>
                </c:pt>
                <c:pt idx="9">
                  <c:v>289560.5245</c:v>
                </c:pt>
                <c:pt idx="10">
                  <c:v>332865.621</c:v>
                </c:pt>
                <c:pt idx="11">
                  <c:v>330908.4675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Financial_Model!F3</c:f>
              <c:strCache>
                <c:ptCount val="1"/>
                <c:pt idx="0">
                  <c:v>Budget Revenue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Financial_Model!$A$4:$A$15</c:f>
              <c:strCache>
                <c:ptCount val="12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</c:strCache>
            </c:strRef>
          </c:cat>
          <c:val>
            <c:numRef>
              <c:f>Financial_Model!$F$4:$F$15</c:f>
              <c:numCache>
                <c:formatCode>\$#,##0</c:formatCode>
                <c:ptCount val="12"/>
                <c:pt idx="0">
                  <c:v>248700</c:v>
                </c:pt>
                <c:pt idx="1">
                  <c:v>250380</c:v>
                </c:pt>
                <c:pt idx="2">
                  <c:v>261530</c:v>
                </c:pt>
                <c:pt idx="3">
                  <c:v>264000</c:v>
                </c:pt>
                <c:pt idx="4">
                  <c:v>230740</c:v>
                </c:pt>
                <c:pt idx="5">
                  <c:v>251990</c:v>
                </c:pt>
                <c:pt idx="6">
                  <c:v>245000</c:v>
                </c:pt>
                <c:pt idx="7">
                  <c:v>253690</c:v>
                </c:pt>
                <c:pt idx="8">
                  <c:v>247420</c:v>
                </c:pt>
                <c:pt idx="9">
                  <c:v>276440</c:v>
                </c:pt>
                <c:pt idx="10">
                  <c:v>329750</c:v>
                </c:pt>
                <c:pt idx="11">
                  <c:v>332020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0813633"/>
        <c:axId val="8836066"/>
      </c:lineChart>
      <c:catAx>
        <c:axId val="708136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36066"/>
        <c:crosses val="autoZero"/>
        <c:auto val="1"/>
        <c:lblAlgn val="ctr"/>
        <c:lblOffset val="100"/>
        <c:noMultiLvlLbl val="0"/>
      </c:catAx>
      <c:valAx>
        <c:axId val="88360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8136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Revenue by Region (FY2025)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Financial_Model!B20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Financial_Model!$A$21:$A$24</c:f>
              <c:strCache>
                <c:ptCount val="4"/>
                <c:pt idx="0">
                  <c:v>North America</c:v>
                </c:pt>
                <c:pt idx="1">
                  <c:v>Europe</c:v>
                </c:pt>
                <c:pt idx="2">
                  <c:v>Asia</c:v>
                </c:pt>
                <c:pt idx="3">
                  <c:v>South America</c:v>
                </c:pt>
              </c:strCache>
            </c:strRef>
          </c:cat>
          <c:val>
            <c:numRef>
              <c:f>Financial_Model!$B$21:$B$24</c:f>
              <c:numCache>
                <c:formatCode>\$#,##0</c:formatCode>
                <c:ptCount val="4"/>
                <c:pt idx="0">
                  <c:v>936068.7685</c:v>
                </c:pt>
                <c:pt idx="1">
                  <c:v>890871.3925</c:v>
                </c:pt>
                <c:pt idx="2">
                  <c:v>761503.632</c:v>
                </c:pt>
                <c:pt idx="3">
                  <c:v>685808.9575</c:v>
                </c:pt>
              </c:numCache>
            </c:numRef>
          </c:val>
        </c:ser>
        <c:gapWidth val="150"/>
        <c:overlap val="0"/>
        <c:axId val="37817023"/>
        <c:axId val="51579754"/>
      </c:barChart>
      <c:catAx>
        <c:axId val="3781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579754"/>
        <c:crosses val="autoZero"/>
        <c:auto val="1"/>
        <c:lblAlgn val="ctr"/>
        <c:lblOffset val="100"/>
        <c:noMultiLvlLbl val="0"/>
      </c:catAx>
      <c:valAx>
        <c:axId val="515797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8170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Gross Profit by Product (FY2025)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Financial_Model!D27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Financial_Model!$A$28:$A$32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Financial_Model!$D$28:$D$32</c:f>
              <c:numCache>
                <c:formatCode>\$#,##0</c:formatCode>
                <c:ptCount val="5"/>
                <c:pt idx="0">
                  <c:v>408258.323</c:v>
                </c:pt>
                <c:pt idx="1">
                  <c:v>303447.8935</c:v>
                </c:pt>
                <c:pt idx="2">
                  <c:v>206914.3865</c:v>
                </c:pt>
                <c:pt idx="3">
                  <c:v>145960.0285</c:v>
                </c:pt>
                <c:pt idx="4">
                  <c:v>307639.039</c:v>
                </c:pt>
              </c:numCache>
            </c:numRef>
          </c:val>
        </c:ser>
        <c:gapWidth val="150"/>
        <c:overlap val="0"/>
        <c:axId val="87365537"/>
        <c:axId val="69857087"/>
      </c:barChart>
      <c:catAx>
        <c:axId val="873655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857087"/>
        <c:crosses val="autoZero"/>
        <c:auto val="1"/>
        <c:lblAlgn val="ctr"/>
        <c:lblOffset val="100"/>
        <c:noMultiLvlLbl val="0"/>
      </c:catAx>
      <c:valAx>
        <c:axId val="698570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Gross Profit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3655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Forecast — Actual, Moving Avg &amp; Trend (incl. Q1 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Forecast!B5</c:f>
              <c:strCache>
                <c:ptCount val="1"/>
                <c:pt idx="0">
                  <c:v>Actual Revenue</c:v>
                </c:pt>
              </c:strCache>
            </c:strRef>
          </c:tx>
          <c:spPr>
            <a:solidFill>
              <a:srgbClr val="ab47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Forecast!$A$6:$A$17</c:f>
              <c:strCache>
                <c:ptCount val="12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</c:strCache>
            </c:strRef>
          </c:cat>
          <c:val>
            <c:numRef>
              <c:f>Forecast!$B$6:$B$17</c:f>
              <c:numCache>
                <c:formatCode>\$#,##0</c:formatCode>
                <c:ptCount val="12"/>
                <c:pt idx="0">
                  <c:v>245732.034</c:v>
                </c:pt>
                <c:pt idx="1">
                  <c:v>255644.9075</c:v>
                </c:pt>
                <c:pt idx="2">
                  <c:v>258393.8075</c:v>
                </c:pt>
                <c:pt idx="3">
                  <c:v>282608.573</c:v>
                </c:pt>
                <c:pt idx="4">
                  <c:v>250332.7705</c:v>
                </c:pt>
                <c:pt idx="5">
                  <c:v>250960.8175</c:v>
                </c:pt>
                <c:pt idx="6">
                  <c:v>253749.4465</c:v>
                </c:pt>
                <c:pt idx="7">
                  <c:v>261546.5445</c:v>
                </c:pt>
                <c:pt idx="8">
                  <c:v>261949.2365</c:v>
                </c:pt>
                <c:pt idx="9">
                  <c:v>289560.5245</c:v>
                </c:pt>
                <c:pt idx="10">
                  <c:v>332865.621</c:v>
                </c:pt>
                <c:pt idx="11">
                  <c:v>330908.4675</c:v>
                </c:pt>
              </c:numCache>
            </c:numRef>
          </c:val>
        </c:ser>
        <c:ser>
          <c:idx val="1"/>
          <c:order val="1"/>
          <c:tx>
            <c:strRef>
              <c:f>Forecast!D5</c:f>
              <c:strCache>
                <c:ptCount val="1"/>
                <c:pt idx="0">
                  <c:v>Linear Trend Forecast</c:v>
                </c:pt>
              </c:strCache>
            </c:strRef>
          </c:tx>
          <c:spPr>
            <a:solidFill>
              <a:srgbClr val="d0949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Forecast!$A$6:$A$17</c:f>
              <c:strCache>
                <c:ptCount val="12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</c:strCache>
            </c:strRef>
          </c:cat>
          <c:val>
            <c:numRef>
              <c:f>Forecast!$D$6:$D$17</c:f>
              <c:numCache>
                <c:formatCode>\$#,##0</c:formatCode>
                <c:ptCount val="12"/>
                <c:pt idx="0">
                  <c:v>238561.559769231</c:v>
                </c:pt>
                <c:pt idx="1">
                  <c:v>244796.620879371</c:v>
                </c:pt>
                <c:pt idx="2">
                  <c:v>251031.68198951</c:v>
                </c:pt>
                <c:pt idx="3">
                  <c:v>257266.74309965</c:v>
                </c:pt>
                <c:pt idx="4">
                  <c:v>263501.80420979</c:v>
                </c:pt>
                <c:pt idx="5">
                  <c:v>269736.86531993</c:v>
                </c:pt>
                <c:pt idx="6">
                  <c:v>275971.92643007</c:v>
                </c:pt>
                <c:pt idx="7">
                  <c:v>282206.98754021</c:v>
                </c:pt>
                <c:pt idx="8">
                  <c:v>288442.04865035</c:v>
                </c:pt>
                <c:pt idx="9">
                  <c:v>294677.10976049</c:v>
                </c:pt>
                <c:pt idx="10">
                  <c:v>300912.170870629</c:v>
                </c:pt>
                <c:pt idx="11">
                  <c:v>307147.231980769</c:v>
                </c:pt>
              </c:numCache>
            </c:numRef>
          </c:val>
        </c:ser>
        <c:gapWidth val="150"/>
        <c:overlap val="0"/>
        <c:axId val="77165693"/>
        <c:axId val="19965403"/>
      </c:barChart>
      <c:catAx>
        <c:axId val="771656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965403"/>
        <c:crosses val="autoZero"/>
        <c:auto val="1"/>
        <c:lblAlgn val="ctr"/>
        <c:lblOffset val="100"/>
        <c:noMultiLvlLbl val="0"/>
      </c:catAx>
      <c:valAx>
        <c:axId val="199654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1656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130680</xdr:rowOff>
    </xdr:from>
    <xdr:to>
      <xdr:col>6</xdr:col>
      <xdr:colOff>840600</xdr:colOff>
      <xdr:row>23</xdr:row>
      <xdr:rowOff>153000</xdr:rowOff>
    </xdr:to>
    <xdr:graphicFrame>
      <xdr:nvGraphicFramePr>
        <xdr:cNvPr id="0" name="Chart 1"/>
        <xdr:cNvGraphicFramePr/>
      </xdr:nvGraphicFramePr>
      <xdr:xfrm>
        <a:off x="211320" y="20192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8</xdr:row>
      <xdr:rowOff>130680</xdr:rowOff>
    </xdr:from>
    <xdr:to>
      <xdr:col>14</xdr:col>
      <xdr:colOff>324720</xdr:colOff>
      <xdr:row>23</xdr:row>
      <xdr:rowOff>153000</xdr:rowOff>
    </xdr:to>
    <xdr:graphicFrame>
      <xdr:nvGraphicFramePr>
        <xdr:cNvPr id="1" name="Chart 2"/>
        <xdr:cNvGraphicFramePr/>
      </xdr:nvGraphicFramePr>
      <xdr:xfrm>
        <a:off x="10361160" y="201924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25</xdr:row>
      <xdr:rowOff>130680</xdr:rowOff>
    </xdr:from>
    <xdr:to>
      <xdr:col>5</xdr:col>
      <xdr:colOff>528480</xdr:colOff>
      <xdr:row>40</xdr:row>
      <xdr:rowOff>153000</xdr:rowOff>
    </xdr:to>
    <xdr:graphicFrame>
      <xdr:nvGraphicFramePr>
        <xdr:cNvPr id="2" name="Chart 3"/>
        <xdr:cNvGraphicFramePr/>
      </xdr:nvGraphicFramePr>
      <xdr:xfrm>
        <a:off x="211320" y="525780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25</xdr:row>
      <xdr:rowOff>130680</xdr:rowOff>
    </xdr:from>
    <xdr:to>
      <xdr:col>16</xdr:col>
      <xdr:colOff>541800</xdr:colOff>
      <xdr:row>40</xdr:row>
      <xdr:rowOff>153000</xdr:rowOff>
    </xdr:to>
    <xdr:graphicFrame>
      <xdr:nvGraphicFramePr>
        <xdr:cNvPr id="3" name="Chart 4"/>
        <xdr:cNvGraphicFramePr/>
      </xdr:nvGraphicFramePr>
      <xdr:xfrm>
        <a:off x="10361160" y="52578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B2:I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0" min="2" style="0" width="11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31.5" hidden="false" customHeight="true" outlineLevel="0" collapsed="false">
      <c r="B6" s="4" t="s">
        <v>3</v>
      </c>
      <c r="C6" s="4"/>
      <c r="D6" s="4"/>
      <c r="E6" s="4"/>
      <c r="F6" s="4"/>
      <c r="G6" s="4"/>
      <c r="H6" s="4"/>
      <c r="I6" s="4"/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5" t="s">
        <v>5</v>
      </c>
    </row>
    <row r="10" customFormat="false" ht="31.5" hidden="false" customHeight="true" outlineLevel="0" collapsed="false">
      <c r="B10" s="4" t="s">
        <v>6</v>
      </c>
      <c r="C10" s="4"/>
      <c r="D10" s="4"/>
      <c r="E10" s="4"/>
      <c r="F10" s="4"/>
      <c r="G10" s="4"/>
      <c r="H10" s="4"/>
      <c r="I10" s="4"/>
    </row>
    <row r="12" customFormat="false" ht="15" hidden="false" customHeight="false" outlineLevel="0" collapsed="false">
      <c r="B12" s="5" t="s">
        <v>7</v>
      </c>
    </row>
    <row r="13" customFormat="false" ht="31.5" hidden="false" customHeight="true" outlineLevel="0" collapsed="false">
      <c r="B13" s="4" t="s">
        <v>8</v>
      </c>
      <c r="C13" s="4"/>
      <c r="D13" s="4"/>
      <c r="E13" s="4"/>
      <c r="F13" s="4"/>
      <c r="G13" s="4"/>
      <c r="H13" s="4"/>
      <c r="I13" s="4"/>
    </row>
    <row r="15" customFormat="false" ht="15" hidden="false" customHeight="false" outlineLevel="0" collapsed="false">
      <c r="B15" s="5" t="s">
        <v>9</v>
      </c>
    </row>
    <row r="16" customFormat="false" ht="31.5" hidden="false" customHeight="true" outlineLevel="0" collapsed="false">
      <c r="B16" s="4" t="s">
        <v>10</v>
      </c>
      <c r="C16" s="4"/>
      <c r="D16" s="4"/>
      <c r="E16" s="4"/>
      <c r="F16" s="4"/>
      <c r="G16" s="4"/>
      <c r="H16" s="4"/>
      <c r="I16" s="4"/>
    </row>
    <row r="18" customFormat="false" ht="15" hidden="false" customHeight="false" outlineLevel="0" collapsed="false">
      <c r="B18" s="5" t="s">
        <v>11</v>
      </c>
    </row>
    <row r="19" customFormat="false" ht="31.5" hidden="false" customHeight="true" outlineLevel="0" collapsed="false">
      <c r="B19" s="4" t="s">
        <v>12</v>
      </c>
      <c r="C19" s="4"/>
      <c r="D19" s="4"/>
      <c r="E19" s="4"/>
      <c r="F19" s="4"/>
      <c r="G19" s="4"/>
      <c r="H19" s="4"/>
      <c r="I19" s="4"/>
    </row>
    <row r="21" customFormat="false" ht="15" hidden="false" customHeight="false" outlineLevel="0" collapsed="false">
      <c r="B21" s="5" t="s">
        <v>13</v>
      </c>
    </row>
    <row r="22" customFormat="false" ht="31.5" hidden="false" customHeight="true" outlineLevel="0" collapsed="false">
      <c r="B22" s="4" t="s">
        <v>14</v>
      </c>
      <c r="C22" s="4"/>
      <c r="D22" s="4"/>
      <c r="E22" s="4"/>
      <c r="F22" s="4"/>
      <c r="G22" s="4"/>
      <c r="H22" s="4"/>
      <c r="I22" s="4"/>
    </row>
    <row r="24" customFormat="false" ht="15" hidden="false" customHeight="false" outlineLevel="0" collapsed="false">
      <c r="B24" s="5" t="s">
        <v>15</v>
      </c>
    </row>
    <row r="25" customFormat="false" ht="31.5" hidden="false" customHeight="true" outlineLevel="0" collapsed="false">
      <c r="B25" s="4" t="s">
        <v>16</v>
      </c>
      <c r="C25" s="4"/>
      <c r="D25" s="4"/>
      <c r="E25" s="4"/>
      <c r="F25" s="4"/>
      <c r="G25" s="4"/>
      <c r="H25" s="4"/>
      <c r="I25" s="4"/>
    </row>
    <row r="27" customFormat="false" ht="15" hidden="false" customHeight="false" outlineLevel="0" collapsed="false">
      <c r="B27" s="5" t="s">
        <v>17</v>
      </c>
    </row>
    <row r="28" customFormat="false" ht="31.5" hidden="false" customHeight="true" outlineLevel="0" collapsed="false">
      <c r="B28" s="4" t="s">
        <v>18</v>
      </c>
      <c r="C28" s="4"/>
      <c r="D28" s="4"/>
      <c r="E28" s="4"/>
      <c r="F28" s="4"/>
      <c r="G28" s="4"/>
      <c r="H28" s="4"/>
      <c r="I28" s="4"/>
    </row>
    <row r="30" customFormat="false" ht="15" hidden="false" customHeight="false" outlineLevel="0" collapsed="false">
      <c r="B30" s="5" t="s">
        <v>19</v>
      </c>
    </row>
    <row r="31" customFormat="false" ht="31.5" hidden="false" customHeight="true" outlineLevel="0" collapsed="false">
      <c r="B31" s="4" t="s">
        <v>20</v>
      </c>
      <c r="C31" s="4"/>
      <c r="D31" s="4"/>
      <c r="E31" s="4"/>
      <c r="F31" s="4"/>
      <c r="G31" s="4"/>
      <c r="H31" s="4"/>
      <c r="I31" s="4"/>
    </row>
    <row r="33" customFormat="false" ht="15" hidden="false" customHeight="false" outlineLevel="0" collapsed="false">
      <c r="B33" s="3" t="s">
        <v>21</v>
      </c>
    </row>
    <row r="34" customFormat="false" ht="31.5" hidden="false" customHeight="true" outlineLevel="0" collapsed="false">
      <c r="B34" s="4" t="s">
        <v>22</v>
      </c>
      <c r="C34" s="4"/>
      <c r="D34" s="4"/>
      <c r="E34" s="4"/>
      <c r="F34" s="4"/>
      <c r="G34" s="4"/>
      <c r="H34" s="4"/>
      <c r="I34" s="4"/>
    </row>
    <row r="36" customFormat="false" ht="15" hidden="false" customHeight="false" outlineLevel="0" collapsed="false">
      <c r="B36" s="3" t="s">
        <v>23</v>
      </c>
    </row>
    <row r="37" customFormat="false" ht="31.5" hidden="false" customHeight="true" outlineLevel="0" collapsed="false">
      <c r="B37" s="4" t="s">
        <v>24</v>
      </c>
      <c r="C37" s="4"/>
      <c r="D37" s="4"/>
      <c r="E37" s="4"/>
      <c r="F37" s="4"/>
      <c r="G37" s="4"/>
      <c r="H37" s="4"/>
      <c r="I37" s="4"/>
    </row>
    <row r="39" customFormat="false" ht="15" hidden="false" customHeight="false" outlineLevel="0" collapsed="false">
      <c r="B39" s="3" t="s">
        <v>25</v>
      </c>
    </row>
    <row r="40" customFormat="false" ht="31.5" hidden="false" customHeight="true" outlineLevel="0" collapsed="false">
      <c r="B40" s="4" t="s">
        <v>26</v>
      </c>
      <c r="C40" s="4"/>
      <c r="D40" s="4"/>
      <c r="E40" s="4"/>
      <c r="F40" s="4"/>
      <c r="G40" s="4"/>
      <c r="H40" s="4"/>
      <c r="I40" s="4"/>
    </row>
  </sheetData>
  <mergeCells count="12">
    <mergeCell ref="B6:I6"/>
    <mergeCell ref="B10:I10"/>
    <mergeCell ref="B13:I13"/>
    <mergeCell ref="B16:I16"/>
    <mergeCell ref="B19:I19"/>
    <mergeCell ref="B22:I22"/>
    <mergeCell ref="B25:I25"/>
    <mergeCell ref="B28:I28"/>
    <mergeCell ref="B31:I31"/>
    <mergeCell ref="B34:I34"/>
    <mergeCell ref="B37:I37"/>
    <mergeCell ref="B40:I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D9D9"/>
    <pageSetUpPr fitToPage="false"/>
  </sheetPr>
  <dimension ref="A1:J2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10" min="9" style="0" width="11"/>
  </cols>
  <sheetData>
    <row r="1" customFormat="false" ht="15" hidden="false" customHeight="false" outlineLevel="0" collapsed="false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</row>
    <row r="3" customFormat="false" ht="23.85" hidden="false" customHeight="false" outlineLevel="0" collapsed="false">
      <c r="A3" s="7" t="s">
        <v>28</v>
      </c>
      <c r="B3" s="7" t="s">
        <v>29</v>
      </c>
      <c r="C3" s="7" t="s">
        <v>30</v>
      </c>
      <c r="D3" s="7" t="s">
        <v>31</v>
      </c>
      <c r="E3" s="7" t="s">
        <v>32</v>
      </c>
      <c r="F3" s="7" t="s">
        <v>33</v>
      </c>
      <c r="G3" s="7" t="s">
        <v>34</v>
      </c>
      <c r="H3" s="7" t="s">
        <v>35</v>
      </c>
      <c r="I3" s="7" t="s">
        <v>36</v>
      </c>
      <c r="J3" s="7" t="s">
        <v>37</v>
      </c>
    </row>
    <row r="4" customFormat="false" ht="15" hidden="false" customHeight="false" outlineLevel="0" collapsed="false">
      <c r="A4" s="8" t="s">
        <v>38</v>
      </c>
      <c r="B4" s="8" t="s">
        <v>39</v>
      </c>
      <c r="C4" s="8" t="s">
        <v>40</v>
      </c>
      <c r="D4" s="8" t="s">
        <v>41</v>
      </c>
      <c r="E4" s="8" t="s">
        <v>42</v>
      </c>
      <c r="F4" s="8" t="s">
        <v>43</v>
      </c>
      <c r="G4" s="8" t="n">
        <v>126</v>
      </c>
      <c r="H4" s="9" t="n">
        <v>21.85</v>
      </c>
      <c r="I4" s="9" t="n">
        <v>44.94</v>
      </c>
      <c r="J4" s="10" t="n">
        <v>0.1</v>
      </c>
    </row>
    <row r="5" customFormat="false" ht="15" hidden="false" customHeight="false" outlineLevel="0" collapsed="false">
      <c r="A5" s="11" t="s">
        <v>44</v>
      </c>
      <c r="B5" s="11" t="s">
        <v>45</v>
      </c>
      <c r="C5" s="11" t="s">
        <v>46</v>
      </c>
      <c r="D5" s="11" t="s">
        <v>41</v>
      </c>
      <c r="E5" s="11" t="s">
        <v>42</v>
      </c>
      <c r="F5" s="11" t="s">
        <v>47</v>
      </c>
      <c r="G5" s="11" t="n">
        <v>171</v>
      </c>
      <c r="H5" s="12" t="n">
        <v>21.75</v>
      </c>
      <c r="I5" s="12" t="n">
        <v>42.87</v>
      </c>
      <c r="J5" s="13" t="n">
        <v>0.1</v>
      </c>
    </row>
    <row r="6" customFormat="false" ht="15" hidden="false" customHeight="false" outlineLevel="0" collapsed="false">
      <c r="A6" s="8" t="s">
        <v>48</v>
      </c>
      <c r="B6" s="8" t="s">
        <v>49</v>
      </c>
      <c r="C6" s="8" t="s">
        <v>50</v>
      </c>
      <c r="D6" s="8" t="s">
        <v>51</v>
      </c>
      <c r="E6" s="8" t="s">
        <v>52</v>
      </c>
      <c r="F6" s="8" t="s">
        <v>47</v>
      </c>
      <c r="G6" s="8" t="n">
        <v>213</v>
      </c>
      <c r="H6" s="9" t="n">
        <v>70.83</v>
      </c>
      <c r="I6" s="9" t="n">
        <v>116.26</v>
      </c>
      <c r="J6" s="10" t="n">
        <v>0.15</v>
      </c>
    </row>
    <row r="7" customFormat="false" ht="15" hidden="false" customHeight="false" outlineLevel="0" collapsed="false">
      <c r="A7" s="11" t="s">
        <v>53</v>
      </c>
      <c r="B7" s="11" t="s">
        <v>54</v>
      </c>
      <c r="C7" s="11" t="s">
        <v>55</v>
      </c>
      <c r="D7" s="11" t="s">
        <v>56</v>
      </c>
      <c r="E7" s="11" t="s">
        <v>52</v>
      </c>
      <c r="F7" s="11" t="s">
        <v>47</v>
      </c>
      <c r="G7" s="11" t="n">
        <v>201</v>
      </c>
      <c r="H7" s="12" t="n">
        <v>51.46</v>
      </c>
      <c r="I7" s="12" t="n">
        <v>83.97</v>
      </c>
      <c r="J7" s="13" t="n">
        <v>0.05</v>
      </c>
    </row>
    <row r="8" customFormat="false" ht="15" hidden="false" customHeight="false" outlineLevel="0" collapsed="false">
      <c r="A8" s="8" t="s">
        <v>57</v>
      </c>
      <c r="B8" s="8" t="s">
        <v>58</v>
      </c>
      <c r="C8" s="8" t="s">
        <v>46</v>
      </c>
      <c r="D8" s="8" t="s">
        <v>41</v>
      </c>
      <c r="E8" s="8" t="s">
        <v>42</v>
      </c>
      <c r="F8" s="8" t="s">
        <v>43</v>
      </c>
      <c r="G8" s="8" t="n">
        <v>207</v>
      </c>
      <c r="H8" s="9" t="n">
        <v>22.16</v>
      </c>
      <c r="I8" s="9" t="n">
        <v>46.48</v>
      </c>
      <c r="J8" s="10" t="n">
        <v>0.05</v>
      </c>
    </row>
    <row r="9" customFormat="false" ht="15" hidden="false" customHeight="false" outlineLevel="0" collapsed="false">
      <c r="A9" s="11" t="s">
        <v>59</v>
      </c>
      <c r="B9" s="11" t="s">
        <v>60</v>
      </c>
      <c r="C9" s="11" t="s">
        <v>61</v>
      </c>
      <c r="D9" s="11" t="s">
        <v>56</v>
      </c>
      <c r="E9" s="11" t="s">
        <v>52</v>
      </c>
      <c r="F9" s="11" t="s">
        <v>43</v>
      </c>
      <c r="G9" s="11" t="n">
        <v>174</v>
      </c>
      <c r="H9" s="12" t="n">
        <v>50.79</v>
      </c>
      <c r="I9" s="12" t="n">
        <v>81.76</v>
      </c>
      <c r="J9" s="13" t="n">
        <v>0.15</v>
      </c>
    </row>
    <row r="10" customFormat="false" ht="15" hidden="false" customHeight="false" outlineLevel="0" collapsed="false">
      <c r="A10" s="8" t="s">
        <v>62</v>
      </c>
      <c r="B10" s="8" t="s">
        <v>63</v>
      </c>
      <c r="C10" s="8" t="s">
        <v>46</v>
      </c>
      <c r="D10" s="8" t="s">
        <v>51</v>
      </c>
      <c r="E10" s="8" t="s">
        <v>52</v>
      </c>
      <c r="F10" s="8" t="s">
        <v>47</v>
      </c>
      <c r="G10" s="8" t="n">
        <v>202</v>
      </c>
      <c r="H10" s="9" t="n">
        <v>71.32</v>
      </c>
      <c r="I10" s="9" t="n">
        <v>119.23</v>
      </c>
      <c r="J10" s="10" t="n">
        <v>0</v>
      </c>
    </row>
    <row r="11" customFormat="false" ht="15" hidden="false" customHeight="false" outlineLevel="0" collapsed="false">
      <c r="A11" s="11" t="s">
        <v>64</v>
      </c>
      <c r="B11" s="11" t="s">
        <v>49</v>
      </c>
      <c r="C11" s="11" t="s">
        <v>61</v>
      </c>
      <c r="D11" s="11" t="s">
        <v>41</v>
      </c>
      <c r="E11" s="11" t="s">
        <v>42</v>
      </c>
      <c r="F11" s="11" t="s">
        <v>43</v>
      </c>
      <c r="G11" s="11" t="n">
        <v>224</v>
      </c>
      <c r="H11" s="12" t="n">
        <v>22.49</v>
      </c>
      <c r="I11" s="12" t="n">
        <v>43.11</v>
      </c>
      <c r="J11" s="13" t="n">
        <v>0.15</v>
      </c>
    </row>
    <row r="12" customFormat="false" ht="15" hidden="false" customHeight="false" outlineLevel="0" collapsed="false">
      <c r="A12" s="8" t="s">
        <v>65</v>
      </c>
      <c r="B12" s="8" t="s">
        <v>66</v>
      </c>
      <c r="C12" s="8" t="s">
        <v>40</v>
      </c>
      <c r="D12" s="8" t="s">
        <v>51</v>
      </c>
      <c r="E12" s="8" t="s">
        <v>52</v>
      </c>
      <c r="F12" s="8" t="s">
        <v>47</v>
      </c>
      <c r="G12" s="8" t="n">
        <v>177</v>
      </c>
      <c r="H12" s="9" t="n">
        <v>69.96</v>
      </c>
      <c r="I12" s="9" t="n">
        <v>115.19</v>
      </c>
      <c r="J12" s="10" t="n">
        <v>0.1</v>
      </c>
    </row>
    <row r="13" customFormat="false" ht="15" hidden="false" customHeight="false" outlineLevel="0" collapsed="false">
      <c r="A13" s="11" t="s">
        <v>67</v>
      </c>
      <c r="B13" s="11" t="s">
        <v>68</v>
      </c>
      <c r="C13" s="11" t="s">
        <v>61</v>
      </c>
      <c r="D13" s="11" t="s">
        <v>41</v>
      </c>
      <c r="E13" s="11" t="s">
        <v>42</v>
      </c>
      <c r="F13" s="11" t="s">
        <v>69</v>
      </c>
      <c r="G13" s="11" t="n">
        <v>164</v>
      </c>
      <c r="H13" s="12" t="n">
        <v>21.63</v>
      </c>
      <c r="I13" s="12" t="n">
        <v>45.85</v>
      </c>
      <c r="J13" s="13" t="n">
        <v>0.05</v>
      </c>
    </row>
    <row r="14" customFormat="false" ht="15" hidden="false" customHeight="false" outlineLevel="0" collapsed="false">
      <c r="A14" s="8" t="s">
        <v>70</v>
      </c>
      <c r="B14" s="8" t="s">
        <v>71</v>
      </c>
      <c r="C14" s="8" t="s">
        <v>61</v>
      </c>
      <c r="D14" s="8" t="s">
        <v>72</v>
      </c>
      <c r="E14" s="8" t="s">
        <v>73</v>
      </c>
      <c r="F14" s="8" t="s">
        <v>47</v>
      </c>
      <c r="G14" s="8" t="n">
        <v>197</v>
      </c>
      <c r="H14" s="9" t="n">
        <v>27.32</v>
      </c>
      <c r="I14" s="9" t="n">
        <v>58.14</v>
      </c>
      <c r="J14" s="10" t="n">
        <v>0.1</v>
      </c>
    </row>
    <row r="15" customFormat="false" ht="15" hidden="false" customHeight="false" outlineLevel="0" collapsed="false">
      <c r="A15" s="11" t="s">
        <v>74</v>
      </c>
      <c r="B15" s="11" t="s">
        <v>75</v>
      </c>
      <c r="C15" s="11" t="s">
        <v>61</v>
      </c>
      <c r="D15" s="11" t="s">
        <v>56</v>
      </c>
      <c r="E15" s="11" t="s">
        <v>52</v>
      </c>
      <c r="F15" s="11" t="s">
        <v>47</v>
      </c>
      <c r="G15" s="11" t="n">
        <v>222</v>
      </c>
      <c r="H15" s="12" t="n">
        <v>50.69</v>
      </c>
      <c r="I15" s="12" t="n">
        <v>82.2</v>
      </c>
      <c r="J15" s="13" t="n">
        <v>0</v>
      </c>
    </row>
    <row r="16" customFormat="false" ht="15" hidden="false" customHeight="false" outlineLevel="0" collapsed="false">
      <c r="A16" s="8" t="s">
        <v>76</v>
      </c>
      <c r="B16" s="8" t="s">
        <v>77</v>
      </c>
      <c r="C16" s="8" t="s">
        <v>46</v>
      </c>
      <c r="D16" s="8" t="s">
        <v>56</v>
      </c>
      <c r="E16" s="8" t="s">
        <v>52</v>
      </c>
      <c r="F16" s="8" t="s">
        <v>69</v>
      </c>
      <c r="G16" s="8" t="n">
        <v>215</v>
      </c>
      <c r="H16" s="9" t="n">
        <v>50.2</v>
      </c>
      <c r="I16" s="9" t="n">
        <v>87.35</v>
      </c>
      <c r="J16" s="10" t="n">
        <v>0</v>
      </c>
    </row>
    <row r="17" customFormat="false" ht="15" hidden="false" customHeight="false" outlineLevel="0" collapsed="false">
      <c r="A17" s="11" t="s">
        <v>78</v>
      </c>
      <c r="B17" s="11" t="s">
        <v>79</v>
      </c>
      <c r="C17" s="11" t="s">
        <v>61</v>
      </c>
      <c r="D17" s="11" t="s">
        <v>56</v>
      </c>
      <c r="E17" s="11" t="s">
        <v>52</v>
      </c>
      <c r="F17" s="11" t="s">
        <v>69</v>
      </c>
      <c r="G17" s="11" t="n">
        <v>195</v>
      </c>
      <c r="H17" s="12" t="n">
        <v>50.39</v>
      </c>
      <c r="I17" s="12" t="n">
        <v>81.35</v>
      </c>
      <c r="J17" s="13" t="n">
        <v>0</v>
      </c>
    </row>
    <row r="18" customFormat="false" ht="15" hidden="false" customHeight="false" outlineLevel="0" collapsed="false">
      <c r="A18" s="8" t="s">
        <v>80</v>
      </c>
      <c r="B18" s="8" t="s">
        <v>81</v>
      </c>
      <c r="C18" s="8" t="s">
        <v>40</v>
      </c>
      <c r="D18" s="8" t="s">
        <v>56</v>
      </c>
      <c r="E18" s="8" t="s">
        <v>52</v>
      </c>
      <c r="F18" s="8" t="s">
        <v>47</v>
      </c>
      <c r="G18" s="8" t="n">
        <v>156</v>
      </c>
      <c r="H18" s="9" t="n">
        <v>49.96</v>
      </c>
      <c r="I18" s="9" t="n">
        <v>83.51</v>
      </c>
      <c r="J18" s="10" t="n">
        <v>0.05</v>
      </c>
    </row>
    <row r="19" customFormat="false" ht="15" hidden="false" customHeight="false" outlineLevel="0" collapsed="false">
      <c r="A19" s="11" t="s">
        <v>82</v>
      </c>
      <c r="B19" s="11" t="s">
        <v>83</v>
      </c>
      <c r="C19" s="11" t="s">
        <v>46</v>
      </c>
      <c r="D19" s="11" t="s">
        <v>72</v>
      </c>
      <c r="E19" s="11" t="s">
        <v>73</v>
      </c>
      <c r="F19" s="11" t="s">
        <v>47</v>
      </c>
      <c r="G19" s="11" t="n">
        <v>190</v>
      </c>
      <c r="H19" s="12" t="n">
        <v>28.29</v>
      </c>
      <c r="I19" s="12" t="n">
        <v>59.37</v>
      </c>
      <c r="J19" s="13" t="n">
        <v>0.05</v>
      </c>
    </row>
    <row r="20" customFormat="false" ht="15" hidden="false" customHeight="false" outlineLevel="0" collapsed="false">
      <c r="A20" s="8" t="s">
        <v>84</v>
      </c>
      <c r="B20" s="8" t="s">
        <v>85</v>
      </c>
      <c r="C20" s="8" t="s">
        <v>61</v>
      </c>
      <c r="D20" s="8" t="s">
        <v>72</v>
      </c>
      <c r="E20" s="8" t="s">
        <v>73</v>
      </c>
      <c r="F20" s="8" t="s">
        <v>43</v>
      </c>
      <c r="G20" s="8" t="n">
        <v>216</v>
      </c>
      <c r="H20" s="9" t="n">
        <v>28.51</v>
      </c>
      <c r="I20" s="9" t="n">
        <v>57.06</v>
      </c>
      <c r="J20" s="10" t="n">
        <v>0.05</v>
      </c>
    </row>
    <row r="21" customFormat="false" ht="15" hidden="false" customHeight="false" outlineLevel="0" collapsed="false">
      <c r="A21" s="11" t="s">
        <v>86</v>
      </c>
      <c r="B21" s="11" t="s">
        <v>87</v>
      </c>
      <c r="C21" s="11" t="s">
        <v>40</v>
      </c>
      <c r="D21" s="11" t="s">
        <v>41</v>
      </c>
      <c r="E21" s="11" t="s">
        <v>42</v>
      </c>
      <c r="F21" s="11" t="s">
        <v>69</v>
      </c>
      <c r="G21" s="11"/>
      <c r="H21" s="12" t="n">
        <v>21.93</v>
      </c>
      <c r="I21" s="12" t="n">
        <v>43.61</v>
      </c>
      <c r="J21" s="13" t="n">
        <v>0.1</v>
      </c>
    </row>
    <row r="22" customFormat="false" ht="15" hidden="false" customHeight="false" outlineLevel="0" collapsed="false">
      <c r="A22" s="8" t="s">
        <v>88</v>
      </c>
      <c r="B22" s="8" t="s">
        <v>89</v>
      </c>
      <c r="C22" s="8" t="s">
        <v>90</v>
      </c>
      <c r="D22" s="8" t="s">
        <v>51</v>
      </c>
      <c r="E22" s="8" t="s">
        <v>52</v>
      </c>
      <c r="F22" s="8" t="s">
        <v>69</v>
      </c>
      <c r="G22" s="8" t="n">
        <v>220</v>
      </c>
      <c r="H22" s="9" t="n">
        <v>68.24</v>
      </c>
      <c r="I22" s="9" t="n">
        <v>125.53</v>
      </c>
      <c r="J22" s="10" t="n">
        <v>0</v>
      </c>
    </row>
    <row r="23" customFormat="false" ht="15" hidden="false" customHeight="false" outlineLevel="0" collapsed="false">
      <c r="A23" s="11" t="s">
        <v>91</v>
      </c>
      <c r="B23" s="11" t="s">
        <v>92</v>
      </c>
      <c r="C23" s="11" t="s">
        <v>55</v>
      </c>
      <c r="D23" s="11" t="s">
        <v>51</v>
      </c>
      <c r="E23" s="11" t="s">
        <v>52</v>
      </c>
      <c r="F23" s="11" t="s">
        <v>43</v>
      </c>
      <c r="G23" s="11" t="n">
        <v>206</v>
      </c>
      <c r="H23" s="12" t="n">
        <v>68.84</v>
      </c>
      <c r="I23" s="12" t="n">
        <v>117.3</v>
      </c>
      <c r="J23" s="13" t="n">
        <v>0</v>
      </c>
    </row>
    <row r="24" customFormat="false" ht="15" hidden="false" customHeight="false" outlineLevel="0" collapsed="false">
      <c r="A24" s="8" t="s">
        <v>93</v>
      </c>
      <c r="B24" s="8" t="s">
        <v>94</v>
      </c>
      <c r="C24" s="8" t="s">
        <v>61</v>
      </c>
      <c r="D24" s="8" t="s">
        <v>51</v>
      </c>
      <c r="E24" s="8" t="s">
        <v>52</v>
      </c>
      <c r="F24" s="8" t="s">
        <v>47</v>
      </c>
      <c r="G24" s="8" t="n">
        <v>137</v>
      </c>
      <c r="H24" s="9" t="n">
        <v>70.62</v>
      </c>
      <c r="I24" s="9" t="n">
        <v>114.83</v>
      </c>
      <c r="J24" s="10" t="n">
        <v>0</v>
      </c>
    </row>
    <row r="25" customFormat="false" ht="15" hidden="false" customHeight="false" outlineLevel="0" collapsed="false">
      <c r="A25" s="11" t="s">
        <v>95</v>
      </c>
      <c r="B25" s="11" t="s">
        <v>96</v>
      </c>
      <c r="C25" s="11" t="s">
        <v>61</v>
      </c>
      <c r="D25" s="11" t="s">
        <v>72</v>
      </c>
      <c r="E25" s="11" t="s">
        <v>73</v>
      </c>
      <c r="F25" s="11" t="s">
        <v>43</v>
      </c>
      <c r="G25" s="11" t="n">
        <v>279</v>
      </c>
      <c r="H25" s="12" t="n">
        <v>27.69</v>
      </c>
      <c r="I25" s="12" t="n">
        <v>61.38</v>
      </c>
      <c r="J25" s="13" t="n">
        <v>0.05</v>
      </c>
    </row>
    <row r="26" customFormat="false" ht="15" hidden="false" customHeight="false" outlineLevel="0" collapsed="false">
      <c r="A26" s="8" t="s">
        <v>97</v>
      </c>
      <c r="B26" s="8" t="s">
        <v>98</v>
      </c>
      <c r="C26" s="8" t="s">
        <v>61</v>
      </c>
      <c r="D26" s="8" t="s">
        <v>56</v>
      </c>
      <c r="E26" s="8" t="s">
        <v>52</v>
      </c>
      <c r="F26" s="8" t="s">
        <v>47</v>
      </c>
      <c r="G26" s="8" t="n">
        <v>144</v>
      </c>
      <c r="H26" s="9" t="n">
        <v>50.02</v>
      </c>
      <c r="I26" s="9" t="n">
        <v>85.32</v>
      </c>
      <c r="J26" s="10" t="n">
        <v>0</v>
      </c>
    </row>
    <row r="27" customFormat="false" ht="15" hidden="false" customHeight="false" outlineLevel="0" collapsed="false">
      <c r="A27" s="11" t="s">
        <v>99</v>
      </c>
      <c r="B27" s="11" t="s">
        <v>100</v>
      </c>
      <c r="C27" s="11" t="s">
        <v>40</v>
      </c>
      <c r="D27" s="11" t="s">
        <v>56</v>
      </c>
      <c r="E27" s="11" t="s">
        <v>52</v>
      </c>
      <c r="F27" s="11" t="s">
        <v>69</v>
      </c>
      <c r="G27" s="11" t="n">
        <v>156</v>
      </c>
      <c r="H27" s="12" t="n">
        <v>50.62</v>
      </c>
      <c r="I27" s="12" t="n">
        <v>82.72</v>
      </c>
      <c r="J27" s="13" t="n">
        <v>0.1</v>
      </c>
    </row>
    <row r="28" customFormat="false" ht="15" hidden="false" customHeight="false" outlineLevel="0" collapsed="false">
      <c r="A28" s="8" t="s">
        <v>101</v>
      </c>
      <c r="B28" s="8" t="s">
        <v>102</v>
      </c>
      <c r="C28" s="8" t="s">
        <v>55</v>
      </c>
      <c r="D28" s="8" t="s">
        <v>41</v>
      </c>
      <c r="E28" s="8" t="s">
        <v>42</v>
      </c>
      <c r="F28" s="8" t="s">
        <v>69</v>
      </c>
      <c r="G28" s="8" t="n">
        <v>114</v>
      </c>
      <c r="H28" s="9" t="n">
        <v>22.07</v>
      </c>
      <c r="I28" s="9" t="n">
        <v>47.23</v>
      </c>
      <c r="J28" s="10" t="n">
        <v>0.1</v>
      </c>
    </row>
    <row r="29" customFormat="false" ht="15" hidden="false" customHeight="false" outlineLevel="0" collapsed="false">
      <c r="A29" s="11" t="s">
        <v>103</v>
      </c>
      <c r="B29" s="11" t="s">
        <v>104</v>
      </c>
      <c r="C29" s="11" t="s">
        <v>40</v>
      </c>
      <c r="D29" s="11" t="s">
        <v>72</v>
      </c>
      <c r="E29" s="11" t="s">
        <v>73</v>
      </c>
      <c r="F29" s="11" t="s">
        <v>69</v>
      </c>
      <c r="G29" s="11" t="n">
        <v>177</v>
      </c>
      <c r="H29" s="12" t="n">
        <v>28.36</v>
      </c>
      <c r="I29" s="12" t="n">
        <v>59.86</v>
      </c>
      <c r="J29" s="13" t="n">
        <v>0.1</v>
      </c>
    </row>
    <row r="30" customFormat="false" ht="15" hidden="false" customHeight="false" outlineLevel="0" collapsed="false">
      <c r="A30" s="8" t="s">
        <v>105</v>
      </c>
      <c r="B30" s="8" t="s">
        <v>106</v>
      </c>
      <c r="C30" s="8" t="s">
        <v>40</v>
      </c>
      <c r="D30" s="8" t="s">
        <v>51</v>
      </c>
      <c r="E30" s="8" t="s">
        <v>52</v>
      </c>
      <c r="F30" s="8" t="s">
        <v>47</v>
      </c>
      <c r="G30" s="8" t="n">
        <v>176</v>
      </c>
      <c r="H30" s="9" t="n">
        <v>68.56</v>
      </c>
      <c r="I30" s="9" t="n">
        <v>120.62</v>
      </c>
      <c r="J30" s="10" t="n">
        <v>0.1</v>
      </c>
    </row>
    <row r="31" customFormat="false" ht="15" hidden="false" customHeight="false" outlineLevel="0" collapsed="false">
      <c r="A31" s="11" t="s">
        <v>107</v>
      </c>
      <c r="B31" s="11" t="s">
        <v>98</v>
      </c>
      <c r="C31" s="11" t="s">
        <v>61</v>
      </c>
      <c r="D31" s="11" t="s">
        <v>51</v>
      </c>
      <c r="E31" s="11" t="s">
        <v>52</v>
      </c>
      <c r="F31" s="11" t="s">
        <v>69</v>
      </c>
      <c r="G31" s="11"/>
      <c r="H31" s="12" t="n">
        <v>70.51</v>
      </c>
      <c r="I31" s="12" t="n">
        <v>114.11</v>
      </c>
      <c r="J31" s="13" t="n">
        <v>0.15</v>
      </c>
    </row>
    <row r="32" customFormat="false" ht="15" hidden="false" customHeight="false" outlineLevel="0" collapsed="false">
      <c r="A32" s="8" t="s">
        <v>108</v>
      </c>
      <c r="B32" s="8" t="s">
        <v>109</v>
      </c>
      <c r="C32" s="8" t="s">
        <v>40</v>
      </c>
      <c r="D32" s="8" t="s">
        <v>41</v>
      </c>
      <c r="E32" s="8" t="s">
        <v>42</v>
      </c>
      <c r="F32" s="8" t="s">
        <v>43</v>
      </c>
      <c r="G32" s="8" t="n">
        <v>220</v>
      </c>
      <c r="H32" s="9" t="n">
        <v>22.13</v>
      </c>
      <c r="I32" s="9" t="n">
        <v>44.01</v>
      </c>
      <c r="J32" s="10" t="n">
        <v>0.05</v>
      </c>
    </row>
    <row r="33" customFormat="false" ht="15" hidden="false" customHeight="false" outlineLevel="0" collapsed="false">
      <c r="A33" s="11" t="s">
        <v>110</v>
      </c>
      <c r="B33" s="11" t="s">
        <v>111</v>
      </c>
      <c r="C33" s="11" t="s">
        <v>55</v>
      </c>
      <c r="D33" s="11" t="s">
        <v>41</v>
      </c>
      <c r="E33" s="11" t="s">
        <v>42</v>
      </c>
      <c r="F33" s="11" t="s">
        <v>43</v>
      </c>
      <c r="G33" s="11" t="n">
        <v>231</v>
      </c>
      <c r="H33" s="12" t="n">
        <v>22.51</v>
      </c>
      <c r="I33" s="12" t="n">
        <v>46.26</v>
      </c>
      <c r="J33" s="13" t="n">
        <v>0.1</v>
      </c>
    </row>
    <row r="34" customFormat="false" ht="15" hidden="false" customHeight="false" outlineLevel="0" collapsed="false">
      <c r="A34" s="8" t="s">
        <v>112</v>
      </c>
      <c r="B34" s="8" t="s">
        <v>113</v>
      </c>
      <c r="C34" s="8" t="s">
        <v>55</v>
      </c>
      <c r="D34" s="8" t="s">
        <v>114</v>
      </c>
      <c r="E34" s="8" t="s">
        <v>73</v>
      </c>
      <c r="F34" s="8" t="s">
        <v>43</v>
      </c>
      <c r="G34" s="8" t="n">
        <v>219</v>
      </c>
      <c r="H34" s="9" t="n">
        <v>14.34</v>
      </c>
      <c r="I34" s="9" t="n">
        <v>28.89</v>
      </c>
      <c r="J34" s="10" t="n">
        <v>0.05</v>
      </c>
    </row>
    <row r="35" customFormat="false" ht="15" hidden="false" customHeight="false" outlineLevel="0" collapsed="false">
      <c r="A35" s="11" t="s">
        <v>115</v>
      </c>
      <c r="B35" s="11" t="s">
        <v>116</v>
      </c>
      <c r="C35" s="11" t="s">
        <v>61</v>
      </c>
      <c r="D35" s="11" t="s">
        <v>114</v>
      </c>
      <c r="E35" s="11" t="s">
        <v>73</v>
      </c>
      <c r="F35" s="11" t="s">
        <v>69</v>
      </c>
      <c r="G35" s="11" t="n">
        <v>304</v>
      </c>
      <c r="H35" s="12" t="n">
        <v>14.28</v>
      </c>
      <c r="I35" s="12" t="n">
        <v>30</v>
      </c>
      <c r="J35" s="13" t="n">
        <v>0.05</v>
      </c>
    </row>
    <row r="36" customFormat="false" ht="15" hidden="false" customHeight="false" outlineLevel="0" collapsed="false">
      <c r="A36" s="8" t="s">
        <v>117</v>
      </c>
      <c r="B36" s="8" t="s">
        <v>68</v>
      </c>
      <c r="C36" s="8" t="s">
        <v>55</v>
      </c>
      <c r="D36" s="8" t="s">
        <v>41</v>
      </c>
      <c r="E36" s="8" t="s">
        <v>42</v>
      </c>
      <c r="F36" s="8" t="s">
        <v>47</v>
      </c>
      <c r="G36" s="8" t="n">
        <v>241</v>
      </c>
      <c r="H36" s="9" t="n">
        <v>22.08</v>
      </c>
      <c r="I36" s="9" t="n">
        <v>45.46</v>
      </c>
      <c r="J36" s="10" t="n">
        <v>0.15</v>
      </c>
    </row>
    <row r="37" customFormat="false" ht="15" hidden="false" customHeight="false" outlineLevel="0" collapsed="false">
      <c r="A37" s="11" t="s">
        <v>118</v>
      </c>
      <c r="B37" s="11" t="s">
        <v>119</v>
      </c>
      <c r="C37" s="11" t="s">
        <v>46</v>
      </c>
      <c r="D37" s="11" t="s">
        <v>114</v>
      </c>
      <c r="E37" s="11" t="s">
        <v>73</v>
      </c>
      <c r="F37" s="11" t="s">
        <v>69</v>
      </c>
      <c r="G37" s="11" t="n">
        <v>190</v>
      </c>
      <c r="H37" s="12" t="n">
        <v>13.82</v>
      </c>
      <c r="I37" s="12" t="n">
        <v>29.18</v>
      </c>
      <c r="J37" s="13" t="n">
        <v>0</v>
      </c>
    </row>
    <row r="38" customFormat="false" ht="15" hidden="false" customHeight="false" outlineLevel="0" collapsed="false">
      <c r="A38" s="8" t="s">
        <v>120</v>
      </c>
      <c r="B38" s="8" t="s">
        <v>121</v>
      </c>
      <c r="C38" s="8" t="s">
        <v>55</v>
      </c>
      <c r="D38" s="8" t="s">
        <v>56</v>
      </c>
      <c r="E38" s="8" t="s">
        <v>52</v>
      </c>
      <c r="F38" s="8" t="s">
        <v>69</v>
      </c>
      <c r="G38" s="8" t="n">
        <v>314</v>
      </c>
      <c r="H38" s="9" t="n">
        <v>49.1</v>
      </c>
      <c r="I38" s="9" t="n">
        <v>82.66</v>
      </c>
      <c r="J38" s="10" t="n">
        <v>0</v>
      </c>
    </row>
    <row r="39" customFormat="false" ht="15" hidden="false" customHeight="false" outlineLevel="0" collapsed="false">
      <c r="A39" s="11" t="s">
        <v>122</v>
      </c>
      <c r="B39" s="11" t="s">
        <v>123</v>
      </c>
      <c r="C39" s="11" t="s">
        <v>55</v>
      </c>
      <c r="D39" s="11" t="s">
        <v>41</v>
      </c>
      <c r="E39" s="11" t="s">
        <v>42</v>
      </c>
      <c r="F39" s="11" t="s">
        <v>69</v>
      </c>
      <c r="G39" s="11" t="n">
        <v>253</v>
      </c>
      <c r="H39" s="12" t="n">
        <v>22.66</v>
      </c>
      <c r="I39" s="12" t="n">
        <v>45.18</v>
      </c>
      <c r="J39" s="13" t="n">
        <v>0.05</v>
      </c>
    </row>
    <row r="40" customFormat="false" ht="15" hidden="false" customHeight="false" outlineLevel="0" collapsed="false">
      <c r="A40" s="8" t="s">
        <v>124</v>
      </c>
      <c r="B40" s="8" t="s">
        <v>125</v>
      </c>
      <c r="C40" s="8" t="s">
        <v>40</v>
      </c>
      <c r="D40" s="8" t="s">
        <v>114</v>
      </c>
      <c r="E40" s="8" t="s">
        <v>73</v>
      </c>
      <c r="F40" s="8" t="s">
        <v>47</v>
      </c>
      <c r="G40" s="8" t="n">
        <v>214</v>
      </c>
      <c r="H40" s="9" t="n">
        <v>14.21</v>
      </c>
      <c r="I40" s="9" t="n">
        <v>31.11</v>
      </c>
      <c r="J40" s="10" t="n">
        <v>0</v>
      </c>
    </row>
    <row r="41" customFormat="false" ht="15" hidden="false" customHeight="false" outlineLevel="0" collapsed="false">
      <c r="A41" s="11" t="s">
        <v>126</v>
      </c>
      <c r="B41" s="11" t="s">
        <v>127</v>
      </c>
      <c r="C41" s="11" t="s">
        <v>61</v>
      </c>
      <c r="D41" s="11" t="s">
        <v>72</v>
      </c>
      <c r="E41" s="11" t="s">
        <v>73</v>
      </c>
      <c r="F41" s="11" t="s">
        <v>47</v>
      </c>
      <c r="G41" s="11" t="n">
        <v>180</v>
      </c>
      <c r="H41" s="12" t="n">
        <v>28.01</v>
      </c>
      <c r="I41" s="12" t="n">
        <v>62.4</v>
      </c>
      <c r="J41" s="13" t="n">
        <v>0.1</v>
      </c>
    </row>
    <row r="42" customFormat="false" ht="15" hidden="false" customHeight="false" outlineLevel="0" collapsed="false">
      <c r="A42" s="8" t="s">
        <v>128</v>
      </c>
      <c r="B42" s="8" t="s">
        <v>129</v>
      </c>
      <c r="C42" s="8" t="s">
        <v>55</v>
      </c>
      <c r="D42" s="8" t="s">
        <v>72</v>
      </c>
      <c r="E42" s="8" t="s">
        <v>73</v>
      </c>
      <c r="F42" s="8" t="s">
        <v>43</v>
      </c>
      <c r="G42" s="8" t="n">
        <v>283</v>
      </c>
      <c r="H42" s="9" t="n">
        <v>28.79</v>
      </c>
      <c r="I42" s="9" t="n">
        <v>60.24</v>
      </c>
      <c r="J42" s="10" t="n">
        <v>0.15</v>
      </c>
    </row>
    <row r="43" customFormat="false" ht="15" hidden="false" customHeight="false" outlineLevel="0" collapsed="false">
      <c r="A43" s="11" t="s">
        <v>130</v>
      </c>
      <c r="B43" s="11" t="s">
        <v>131</v>
      </c>
      <c r="C43" s="11" t="s">
        <v>46</v>
      </c>
      <c r="D43" s="11" t="s">
        <v>51</v>
      </c>
      <c r="E43" s="11" t="s">
        <v>52</v>
      </c>
      <c r="F43" s="11" t="s">
        <v>69</v>
      </c>
      <c r="G43" s="11" t="n">
        <v>232</v>
      </c>
      <c r="H43" s="12" t="n">
        <v>68.98</v>
      </c>
      <c r="I43" s="12" t="n">
        <v>119.58</v>
      </c>
      <c r="J43" s="13" t="n">
        <v>0.05</v>
      </c>
    </row>
    <row r="44" customFormat="false" ht="15" hidden="false" customHeight="false" outlineLevel="0" collapsed="false">
      <c r="A44" s="8" t="s">
        <v>132</v>
      </c>
      <c r="B44" s="8" t="s">
        <v>113</v>
      </c>
      <c r="C44" s="8" t="s">
        <v>61</v>
      </c>
      <c r="D44" s="8" t="s">
        <v>56</v>
      </c>
      <c r="E44" s="8" t="s">
        <v>52</v>
      </c>
      <c r="F44" s="8" t="s">
        <v>43</v>
      </c>
      <c r="G44" s="8" t="n">
        <v>234</v>
      </c>
      <c r="H44" s="9" t="n">
        <v>50.97</v>
      </c>
      <c r="I44" s="9" t="n">
        <v>81.29</v>
      </c>
      <c r="J44" s="10" t="n">
        <v>0.05</v>
      </c>
    </row>
    <row r="45" customFormat="false" ht="15" hidden="false" customHeight="false" outlineLevel="0" collapsed="false">
      <c r="A45" s="11" t="s">
        <v>133</v>
      </c>
      <c r="B45" s="11" t="s">
        <v>134</v>
      </c>
      <c r="C45" s="11" t="s">
        <v>40</v>
      </c>
      <c r="D45" s="11" t="s">
        <v>51</v>
      </c>
      <c r="E45" s="11" t="s">
        <v>52</v>
      </c>
      <c r="F45" s="11" t="s">
        <v>69</v>
      </c>
      <c r="G45" s="11" t="n">
        <v>212</v>
      </c>
      <c r="H45" s="12" t="n">
        <v>68.78</v>
      </c>
      <c r="I45" s="12" t="n">
        <v>117.38</v>
      </c>
      <c r="J45" s="13" t="n">
        <v>0.05</v>
      </c>
    </row>
    <row r="46" customFormat="false" ht="15" hidden="false" customHeight="false" outlineLevel="0" collapsed="false">
      <c r="A46" s="8" t="s">
        <v>135</v>
      </c>
      <c r="B46" s="8" t="s">
        <v>136</v>
      </c>
      <c r="C46" s="8" t="s">
        <v>40</v>
      </c>
      <c r="D46" s="8" t="s">
        <v>51</v>
      </c>
      <c r="E46" s="8" t="s">
        <v>52</v>
      </c>
      <c r="F46" s="8" t="s">
        <v>69</v>
      </c>
      <c r="G46" s="8" t="n">
        <v>181</v>
      </c>
      <c r="H46" s="9" t="n">
        <v>68.54</v>
      </c>
      <c r="I46" s="9" t="n">
        <v>118.49</v>
      </c>
      <c r="J46" s="10" t="n">
        <v>0.1</v>
      </c>
    </row>
    <row r="47" customFormat="false" ht="15" hidden="false" customHeight="false" outlineLevel="0" collapsed="false">
      <c r="A47" s="11" t="s">
        <v>137</v>
      </c>
      <c r="B47" s="11" t="s">
        <v>138</v>
      </c>
      <c r="C47" s="11" t="s">
        <v>46</v>
      </c>
      <c r="D47" s="11" t="s">
        <v>51</v>
      </c>
      <c r="E47" s="11" t="s">
        <v>52</v>
      </c>
      <c r="F47" s="11" t="s">
        <v>47</v>
      </c>
      <c r="G47" s="11"/>
      <c r="H47" s="12" t="n">
        <v>68.35</v>
      </c>
      <c r="I47" s="12" t="n">
        <v>123.45</v>
      </c>
      <c r="J47" s="13" t="n">
        <v>0</v>
      </c>
    </row>
    <row r="48" customFormat="false" ht="15" hidden="false" customHeight="false" outlineLevel="0" collapsed="false">
      <c r="A48" s="8" t="s">
        <v>139</v>
      </c>
      <c r="B48" s="8" t="s">
        <v>140</v>
      </c>
      <c r="C48" s="8" t="s">
        <v>40</v>
      </c>
      <c r="D48" s="8" t="s">
        <v>114</v>
      </c>
      <c r="E48" s="8" t="s">
        <v>73</v>
      </c>
      <c r="F48" s="8" t="s">
        <v>69</v>
      </c>
      <c r="G48" s="8" t="n">
        <v>257</v>
      </c>
      <c r="H48" s="9" t="n">
        <v>14.07</v>
      </c>
      <c r="I48" s="9" t="n">
        <v>31.01</v>
      </c>
      <c r="J48" s="10" t="n">
        <v>0.1</v>
      </c>
    </row>
    <row r="49" customFormat="false" ht="15" hidden="false" customHeight="false" outlineLevel="0" collapsed="false">
      <c r="A49" s="11" t="s">
        <v>141</v>
      </c>
      <c r="B49" s="11" t="s">
        <v>142</v>
      </c>
      <c r="C49" s="11" t="s">
        <v>40</v>
      </c>
      <c r="D49" s="11" t="s">
        <v>114</v>
      </c>
      <c r="E49" s="11" t="s">
        <v>73</v>
      </c>
      <c r="F49" s="11" t="s">
        <v>43</v>
      </c>
      <c r="G49" s="11" t="n">
        <v>237</v>
      </c>
      <c r="H49" s="12" t="n">
        <v>13.95</v>
      </c>
      <c r="I49" s="12" t="n">
        <v>28.98</v>
      </c>
      <c r="J49" s="13" t="n">
        <v>0.1</v>
      </c>
    </row>
    <row r="50" customFormat="false" ht="15" hidden="false" customHeight="false" outlineLevel="0" collapsed="false">
      <c r="A50" s="8" t="s">
        <v>143</v>
      </c>
      <c r="B50" s="8" t="s">
        <v>144</v>
      </c>
      <c r="C50" s="8" t="s">
        <v>55</v>
      </c>
      <c r="D50" s="8" t="s">
        <v>72</v>
      </c>
      <c r="E50" s="8" t="s">
        <v>73</v>
      </c>
      <c r="F50" s="8" t="s">
        <v>69</v>
      </c>
      <c r="G50" s="8" t="n">
        <v>230</v>
      </c>
      <c r="H50" s="9" t="n">
        <v>27.19</v>
      </c>
      <c r="I50" s="9" t="n">
        <v>60.53</v>
      </c>
      <c r="J50" s="10" t="n">
        <v>0.05</v>
      </c>
    </row>
    <row r="51" customFormat="false" ht="15" hidden="false" customHeight="false" outlineLevel="0" collapsed="false">
      <c r="A51" s="11" t="s">
        <v>145</v>
      </c>
      <c r="B51" s="11" t="s">
        <v>146</v>
      </c>
      <c r="C51" s="11" t="s">
        <v>55</v>
      </c>
      <c r="D51" s="11" t="s">
        <v>114</v>
      </c>
      <c r="E51" s="11" t="s">
        <v>73</v>
      </c>
      <c r="F51" s="11" t="s">
        <v>69</v>
      </c>
      <c r="G51" s="11" t="n">
        <v>232</v>
      </c>
      <c r="H51" s="12" t="n">
        <v>13.81</v>
      </c>
      <c r="I51" s="12" t="n">
        <v>29.85</v>
      </c>
      <c r="J51" s="13" t="n">
        <v>0</v>
      </c>
    </row>
    <row r="52" customFormat="false" ht="15" hidden="false" customHeight="false" outlineLevel="0" collapsed="false">
      <c r="A52" s="8" t="s">
        <v>147</v>
      </c>
      <c r="B52" s="8" t="s">
        <v>148</v>
      </c>
      <c r="C52" s="8" t="s">
        <v>149</v>
      </c>
      <c r="D52" s="8" t="s">
        <v>41</v>
      </c>
      <c r="E52" s="8" t="s">
        <v>42</v>
      </c>
      <c r="F52" s="8" t="s">
        <v>69</v>
      </c>
      <c r="G52" s="8" t="n">
        <v>170</v>
      </c>
      <c r="H52" s="9" t="n">
        <v>22.53</v>
      </c>
      <c r="I52" s="9" t="n">
        <v>44.4</v>
      </c>
      <c r="J52" s="10" t="n">
        <v>0.05</v>
      </c>
    </row>
    <row r="53" customFormat="false" ht="15" hidden="false" customHeight="false" outlineLevel="0" collapsed="false">
      <c r="A53" s="11" t="s">
        <v>150</v>
      </c>
      <c r="B53" s="11" t="s">
        <v>151</v>
      </c>
      <c r="C53" s="11" t="s">
        <v>55</v>
      </c>
      <c r="D53" s="11" t="s">
        <v>56</v>
      </c>
      <c r="E53" s="11" t="s">
        <v>52</v>
      </c>
      <c r="F53" s="11" t="s">
        <v>69</v>
      </c>
      <c r="G53" s="11" t="n">
        <v>205</v>
      </c>
      <c r="H53" s="12" t="n">
        <v>48.76</v>
      </c>
      <c r="I53" s="12" t="n">
        <v>88.33</v>
      </c>
      <c r="J53" s="13" t="n">
        <v>0.1</v>
      </c>
    </row>
    <row r="54" customFormat="false" ht="15" hidden="false" customHeight="false" outlineLevel="0" collapsed="false">
      <c r="A54" s="8" t="s">
        <v>152</v>
      </c>
      <c r="B54" s="8" t="s">
        <v>153</v>
      </c>
      <c r="C54" s="8" t="s">
        <v>55</v>
      </c>
      <c r="D54" s="8" t="s">
        <v>41</v>
      </c>
      <c r="E54" s="8" t="s">
        <v>42</v>
      </c>
      <c r="F54" s="8" t="s">
        <v>43</v>
      </c>
      <c r="G54" s="8" t="n">
        <v>266</v>
      </c>
      <c r="H54" s="9" t="n">
        <v>21.73</v>
      </c>
      <c r="I54" s="9" t="n">
        <v>46.67</v>
      </c>
      <c r="J54" s="10" t="n">
        <v>0.15</v>
      </c>
    </row>
    <row r="55" customFormat="false" ht="15" hidden="false" customHeight="false" outlineLevel="0" collapsed="false">
      <c r="A55" s="11" t="s">
        <v>154</v>
      </c>
      <c r="B55" s="11" t="s">
        <v>155</v>
      </c>
      <c r="C55" s="11" t="s">
        <v>55</v>
      </c>
      <c r="D55" s="11" t="s">
        <v>51</v>
      </c>
      <c r="E55" s="11" t="s">
        <v>52</v>
      </c>
      <c r="F55" s="11" t="s">
        <v>43</v>
      </c>
      <c r="G55" s="11" t="n">
        <v>221</v>
      </c>
      <c r="H55" s="12" t="n">
        <v>68.29</v>
      </c>
      <c r="I55" s="12" t="n">
        <v>121.43</v>
      </c>
      <c r="J55" s="13" t="n">
        <v>0</v>
      </c>
    </row>
    <row r="56" customFormat="false" ht="15" hidden="false" customHeight="false" outlineLevel="0" collapsed="false">
      <c r="A56" s="8" t="s">
        <v>156</v>
      </c>
      <c r="B56" s="8" t="s">
        <v>157</v>
      </c>
      <c r="C56" s="8" t="s">
        <v>46</v>
      </c>
      <c r="D56" s="8" t="s">
        <v>114</v>
      </c>
      <c r="E56" s="8" t="s">
        <v>73</v>
      </c>
      <c r="F56" s="8" t="s">
        <v>69</v>
      </c>
      <c r="G56" s="8" t="n">
        <v>246</v>
      </c>
      <c r="H56" s="9" t="n">
        <v>13.81</v>
      </c>
      <c r="I56" s="9" t="n">
        <v>29.83</v>
      </c>
      <c r="J56" s="10" t="n">
        <v>0.15</v>
      </c>
    </row>
    <row r="57" customFormat="false" ht="15" hidden="false" customHeight="false" outlineLevel="0" collapsed="false">
      <c r="A57" s="11" t="s">
        <v>158</v>
      </c>
      <c r="B57" s="11" t="s">
        <v>159</v>
      </c>
      <c r="C57" s="11" t="s">
        <v>40</v>
      </c>
      <c r="D57" s="11" t="s">
        <v>114</v>
      </c>
      <c r="E57" s="11" t="s">
        <v>73</v>
      </c>
      <c r="F57" s="11" t="s">
        <v>47</v>
      </c>
      <c r="G57" s="11" t="n">
        <v>175</v>
      </c>
      <c r="H57" s="12" t="n">
        <v>14.28</v>
      </c>
      <c r="I57" s="12" t="n">
        <v>28.57</v>
      </c>
      <c r="J57" s="13" t="n">
        <v>0.1</v>
      </c>
    </row>
    <row r="58" customFormat="false" ht="15" hidden="false" customHeight="false" outlineLevel="0" collapsed="false">
      <c r="A58" s="8" t="s">
        <v>160</v>
      </c>
      <c r="B58" s="8" t="s">
        <v>71</v>
      </c>
      <c r="C58" s="8" t="s">
        <v>46</v>
      </c>
      <c r="D58" s="8" t="s">
        <v>41</v>
      </c>
      <c r="E58" s="8" t="s">
        <v>42</v>
      </c>
      <c r="F58" s="8" t="s">
        <v>43</v>
      </c>
      <c r="G58" s="8" t="n">
        <v>201</v>
      </c>
      <c r="H58" s="9" t="n">
        <v>21.56</v>
      </c>
      <c r="I58" s="9" t="n">
        <v>47.01</v>
      </c>
      <c r="J58" s="10" t="n">
        <v>0.15</v>
      </c>
    </row>
    <row r="59" customFormat="false" ht="15" hidden="false" customHeight="false" outlineLevel="0" collapsed="false">
      <c r="A59" s="11" t="s">
        <v>161</v>
      </c>
      <c r="B59" s="11" t="s">
        <v>162</v>
      </c>
      <c r="C59" s="11" t="s">
        <v>55</v>
      </c>
      <c r="D59" s="11" t="s">
        <v>56</v>
      </c>
      <c r="E59" s="11" t="s">
        <v>52</v>
      </c>
      <c r="F59" s="11" t="s">
        <v>69</v>
      </c>
      <c r="G59" s="11" t="n">
        <v>483</v>
      </c>
      <c r="H59" s="12" t="n">
        <v>51.11</v>
      </c>
      <c r="I59" s="12" t="n">
        <v>82.59</v>
      </c>
      <c r="J59" s="13" t="n">
        <v>0.05</v>
      </c>
    </row>
    <row r="60" customFormat="false" ht="15" hidden="false" customHeight="false" outlineLevel="0" collapsed="false">
      <c r="A60" s="8" t="s">
        <v>163</v>
      </c>
      <c r="B60" s="8" t="s">
        <v>164</v>
      </c>
      <c r="C60" s="8" t="s">
        <v>46</v>
      </c>
      <c r="D60" s="8" t="s">
        <v>72</v>
      </c>
      <c r="E60" s="8" t="s">
        <v>73</v>
      </c>
      <c r="F60" s="8" t="s">
        <v>47</v>
      </c>
      <c r="G60" s="8" t="n">
        <v>223</v>
      </c>
      <c r="H60" s="9" t="n">
        <v>27.64</v>
      </c>
      <c r="I60" s="9" t="n">
        <v>59.58</v>
      </c>
      <c r="J60" s="10" t="n">
        <v>0.15</v>
      </c>
    </row>
    <row r="61" customFormat="false" ht="15" hidden="false" customHeight="false" outlineLevel="0" collapsed="false">
      <c r="A61" s="11" t="s">
        <v>165</v>
      </c>
      <c r="B61" s="11" t="s">
        <v>166</v>
      </c>
      <c r="C61" s="11" t="s">
        <v>61</v>
      </c>
      <c r="D61" s="11" t="s">
        <v>56</v>
      </c>
      <c r="E61" s="11" t="s">
        <v>52</v>
      </c>
      <c r="F61" s="11" t="s">
        <v>47</v>
      </c>
      <c r="G61" s="11" t="n">
        <v>205</v>
      </c>
      <c r="H61" s="12" t="n">
        <v>51.2</v>
      </c>
      <c r="I61" s="12" t="n">
        <v>81.73</v>
      </c>
      <c r="J61" s="13" t="n">
        <v>0</v>
      </c>
    </row>
    <row r="62" customFormat="false" ht="15" hidden="false" customHeight="false" outlineLevel="0" collapsed="false">
      <c r="A62" s="8" t="s">
        <v>167</v>
      </c>
      <c r="B62" s="8" t="s">
        <v>168</v>
      </c>
      <c r="C62" s="8" t="s">
        <v>40</v>
      </c>
      <c r="D62" s="8" t="s">
        <v>51</v>
      </c>
      <c r="E62" s="8" t="s">
        <v>52</v>
      </c>
      <c r="F62" s="8" t="s">
        <v>47</v>
      </c>
      <c r="G62" s="8" t="n">
        <v>219</v>
      </c>
      <c r="H62" s="9" t="n">
        <v>70.88</v>
      </c>
      <c r="I62" s="9" t="n">
        <v>120.88</v>
      </c>
      <c r="J62" s="10" t="n">
        <v>0.1</v>
      </c>
    </row>
    <row r="63" customFormat="false" ht="15" hidden="false" customHeight="false" outlineLevel="0" collapsed="false">
      <c r="A63" s="11" t="s">
        <v>169</v>
      </c>
      <c r="B63" s="11" t="s">
        <v>170</v>
      </c>
      <c r="C63" s="11" t="s">
        <v>46</v>
      </c>
      <c r="D63" s="11" t="s">
        <v>114</v>
      </c>
      <c r="E63" s="11" t="s">
        <v>73</v>
      </c>
      <c r="F63" s="11" t="s">
        <v>47</v>
      </c>
      <c r="G63" s="11" t="n">
        <v>300</v>
      </c>
      <c r="H63" s="12" t="n">
        <v>14.16</v>
      </c>
      <c r="I63" s="12" t="n">
        <v>30.77</v>
      </c>
      <c r="J63" s="13" t="n">
        <v>0.05</v>
      </c>
    </row>
    <row r="64" customFormat="false" ht="15" hidden="false" customHeight="false" outlineLevel="0" collapsed="false">
      <c r="A64" s="8" t="s">
        <v>171</v>
      </c>
      <c r="B64" s="8" t="s">
        <v>172</v>
      </c>
      <c r="C64" s="8" t="s">
        <v>55</v>
      </c>
      <c r="D64" s="8" t="s">
        <v>72</v>
      </c>
      <c r="E64" s="8" t="s">
        <v>73</v>
      </c>
      <c r="F64" s="8" t="s">
        <v>47</v>
      </c>
      <c r="G64" s="8" t="n">
        <v>277</v>
      </c>
      <c r="H64" s="9" t="n">
        <v>27.19</v>
      </c>
      <c r="I64" s="9" t="n">
        <v>62.46</v>
      </c>
      <c r="J64" s="10" t="n">
        <v>0</v>
      </c>
    </row>
    <row r="65" customFormat="false" ht="15" hidden="false" customHeight="false" outlineLevel="0" collapsed="false">
      <c r="A65" s="11" t="s">
        <v>173</v>
      </c>
      <c r="B65" s="11" t="s">
        <v>174</v>
      </c>
      <c r="C65" s="11" t="s">
        <v>61</v>
      </c>
      <c r="D65" s="11" t="s">
        <v>56</v>
      </c>
      <c r="E65" s="11" t="s">
        <v>52</v>
      </c>
      <c r="F65" s="11" t="s">
        <v>47</v>
      </c>
      <c r="G65" s="11" t="n">
        <v>240</v>
      </c>
      <c r="H65" s="12" t="n">
        <v>50.29</v>
      </c>
      <c r="I65" s="12" t="n">
        <v>83.99</v>
      </c>
      <c r="J65" s="13" t="n">
        <v>0.05</v>
      </c>
    </row>
    <row r="66" customFormat="false" ht="15" hidden="false" customHeight="false" outlineLevel="0" collapsed="false">
      <c r="A66" s="8" t="s">
        <v>175</v>
      </c>
      <c r="B66" s="8" t="s">
        <v>176</v>
      </c>
      <c r="C66" s="8" t="s">
        <v>55</v>
      </c>
      <c r="D66" s="8" t="s">
        <v>51</v>
      </c>
      <c r="E66" s="8" t="s">
        <v>52</v>
      </c>
      <c r="F66" s="8" t="s">
        <v>47</v>
      </c>
      <c r="G66" s="8" t="n">
        <v>139</v>
      </c>
      <c r="H66" s="9" t="n">
        <v>71.26</v>
      </c>
      <c r="I66" s="9" t="n">
        <v>117.43</v>
      </c>
      <c r="J66" s="10" t="n">
        <v>0.15</v>
      </c>
    </row>
    <row r="67" customFormat="false" ht="15" hidden="false" customHeight="false" outlineLevel="0" collapsed="false">
      <c r="A67" s="11" t="s">
        <v>177</v>
      </c>
      <c r="B67" s="11" t="s">
        <v>178</v>
      </c>
      <c r="C67" s="11" t="s">
        <v>61</v>
      </c>
      <c r="D67" s="11" t="s">
        <v>51</v>
      </c>
      <c r="E67" s="11" t="s">
        <v>52</v>
      </c>
      <c r="F67" s="11" t="s">
        <v>69</v>
      </c>
      <c r="G67" s="11" t="n">
        <v>154</v>
      </c>
      <c r="H67" s="12" t="n">
        <v>69.28</v>
      </c>
      <c r="I67" s="12" t="n">
        <v>125.32</v>
      </c>
      <c r="J67" s="13" t="n">
        <v>0.15</v>
      </c>
    </row>
    <row r="68" customFormat="false" ht="15" hidden="false" customHeight="false" outlineLevel="0" collapsed="false">
      <c r="A68" s="8" t="s">
        <v>179</v>
      </c>
      <c r="B68" s="8" t="s">
        <v>180</v>
      </c>
      <c r="C68" s="8" t="s">
        <v>40</v>
      </c>
      <c r="D68" s="8" t="s">
        <v>41</v>
      </c>
      <c r="E68" s="8" t="s">
        <v>42</v>
      </c>
      <c r="F68" s="8" t="s">
        <v>47</v>
      </c>
      <c r="G68" s="8" t="n">
        <v>159</v>
      </c>
      <c r="H68" s="9" t="n">
        <v>21.65</v>
      </c>
      <c r="I68" s="9" t="n">
        <v>44.92</v>
      </c>
      <c r="J68" s="10" t="n">
        <v>0.15</v>
      </c>
    </row>
    <row r="69" customFormat="false" ht="15" hidden="false" customHeight="false" outlineLevel="0" collapsed="false">
      <c r="A69" s="11" t="s">
        <v>181</v>
      </c>
      <c r="B69" s="11" t="s">
        <v>182</v>
      </c>
      <c r="C69" s="11" t="s">
        <v>40</v>
      </c>
      <c r="D69" s="11" t="s">
        <v>72</v>
      </c>
      <c r="E69" s="11" t="s">
        <v>73</v>
      </c>
      <c r="F69" s="11" t="s">
        <v>69</v>
      </c>
      <c r="G69" s="11" t="n">
        <v>313</v>
      </c>
      <c r="H69" s="12" t="n">
        <v>28.16</v>
      </c>
      <c r="I69" s="12" t="n">
        <v>60.85</v>
      </c>
      <c r="J69" s="13" t="n">
        <v>0</v>
      </c>
    </row>
    <row r="70" customFormat="false" ht="15" hidden="false" customHeight="false" outlineLevel="0" collapsed="false">
      <c r="A70" s="8" t="s">
        <v>183</v>
      </c>
      <c r="B70" s="8" t="s">
        <v>184</v>
      </c>
      <c r="C70" s="8" t="s">
        <v>46</v>
      </c>
      <c r="D70" s="8" t="s">
        <v>56</v>
      </c>
      <c r="E70" s="8" t="s">
        <v>52</v>
      </c>
      <c r="F70" s="8" t="s">
        <v>69</v>
      </c>
      <c r="G70" s="8" t="n">
        <v>244</v>
      </c>
      <c r="H70" s="9" t="n">
        <v>50.96</v>
      </c>
      <c r="I70" s="9" t="n">
        <v>83.72</v>
      </c>
      <c r="J70" s="10" t="n">
        <v>0</v>
      </c>
    </row>
    <row r="71" customFormat="false" ht="15" hidden="false" customHeight="false" outlineLevel="0" collapsed="false">
      <c r="A71" s="11" t="s">
        <v>185</v>
      </c>
      <c r="B71" s="11" t="s">
        <v>186</v>
      </c>
      <c r="C71" s="11" t="s">
        <v>40</v>
      </c>
      <c r="D71" s="11" t="s">
        <v>51</v>
      </c>
      <c r="E71" s="11" t="s">
        <v>52</v>
      </c>
      <c r="F71" s="11" t="s">
        <v>43</v>
      </c>
      <c r="G71" s="11" t="n">
        <v>227</v>
      </c>
      <c r="H71" s="12" t="n">
        <v>69.76</v>
      </c>
      <c r="I71" s="12" t="n">
        <v>115.9</v>
      </c>
      <c r="J71" s="13" t="n">
        <v>0.05</v>
      </c>
    </row>
    <row r="72" customFormat="false" ht="15" hidden="false" customHeight="false" outlineLevel="0" collapsed="false">
      <c r="A72" s="8" t="s">
        <v>187</v>
      </c>
      <c r="B72" s="8" t="s">
        <v>188</v>
      </c>
      <c r="C72" s="8" t="s">
        <v>55</v>
      </c>
      <c r="D72" s="8" t="s">
        <v>114</v>
      </c>
      <c r="E72" s="8" t="s">
        <v>73</v>
      </c>
      <c r="F72" s="8" t="s">
        <v>69</v>
      </c>
      <c r="G72" s="8" t="n">
        <v>230</v>
      </c>
      <c r="H72" s="9" t="n">
        <v>14</v>
      </c>
      <c r="I72" s="9" t="n">
        <v>30.59</v>
      </c>
      <c r="J72" s="10" t="n">
        <v>0</v>
      </c>
    </row>
    <row r="73" customFormat="false" ht="15" hidden="false" customHeight="false" outlineLevel="0" collapsed="false">
      <c r="A73" s="11" t="s">
        <v>189</v>
      </c>
      <c r="B73" s="11" t="s">
        <v>190</v>
      </c>
      <c r="C73" s="11" t="s">
        <v>55</v>
      </c>
      <c r="D73" s="11" t="s">
        <v>56</v>
      </c>
      <c r="E73" s="11" t="s">
        <v>52</v>
      </c>
      <c r="F73" s="11" t="s">
        <v>69</v>
      </c>
      <c r="G73" s="11" t="n">
        <v>173</v>
      </c>
      <c r="H73" s="12" t="n">
        <v>48.62</v>
      </c>
      <c r="I73" s="12" t="n">
        <v>89.01</v>
      </c>
      <c r="J73" s="13" t="n">
        <v>0.05</v>
      </c>
    </row>
    <row r="74" customFormat="false" ht="15" hidden="false" customHeight="false" outlineLevel="0" collapsed="false">
      <c r="A74" s="8" t="s">
        <v>191</v>
      </c>
      <c r="B74" s="8" t="s">
        <v>192</v>
      </c>
      <c r="C74" s="8" t="s">
        <v>46</v>
      </c>
      <c r="D74" s="8" t="s">
        <v>56</v>
      </c>
      <c r="E74" s="8" t="s">
        <v>52</v>
      </c>
      <c r="F74" s="8" t="s">
        <v>43</v>
      </c>
      <c r="G74" s="8" t="n">
        <v>240</v>
      </c>
      <c r="H74" s="9" t="n">
        <v>51.27</v>
      </c>
      <c r="I74" s="9" t="n">
        <v>81.81</v>
      </c>
      <c r="J74" s="10" t="n">
        <v>0</v>
      </c>
    </row>
    <row r="75" customFormat="false" ht="15" hidden="false" customHeight="false" outlineLevel="0" collapsed="false">
      <c r="A75" s="11" t="s">
        <v>193</v>
      </c>
      <c r="B75" s="11" t="s">
        <v>194</v>
      </c>
      <c r="C75" s="11" t="s">
        <v>46</v>
      </c>
      <c r="D75" s="11" t="s">
        <v>114</v>
      </c>
      <c r="E75" s="11" t="s">
        <v>73</v>
      </c>
      <c r="F75" s="11" t="s">
        <v>43</v>
      </c>
      <c r="G75" s="11"/>
      <c r="H75" s="12" t="n">
        <v>14.29</v>
      </c>
      <c r="I75" s="12" t="n">
        <v>31.5</v>
      </c>
      <c r="J75" s="13" t="n">
        <v>0.1</v>
      </c>
    </row>
    <row r="76" customFormat="false" ht="15" hidden="false" customHeight="false" outlineLevel="0" collapsed="false">
      <c r="A76" s="8" t="s">
        <v>195</v>
      </c>
      <c r="B76" s="8" t="s">
        <v>196</v>
      </c>
      <c r="C76" s="8" t="s">
        <v>46</v>
      </c>
      <c r="D76" s="8" t="s">
        <v>56</v>
      </c>
      <c r="E76" s="8" t="s">
        <v>52</v>
      </c>
      <c r="F76" s="8" t="s">
        <v>43</v>
      </c>
      <c r="G76" s="8" t="n">
        <v>313</v>
      </c>
      <c r="H76" s="9" t="n">
        <v>48.73</v>
      </c>
      <c r="I76" s="9" t="n">
        <v>84.73</v>
      </c>
      <c r="J76" s="10" t="n">
        <v>0</v>
      </c>
    </row>
    <row r="77" customFormat="false" ht="15" hidden="false" customHeight="false" outlineLevel="0" collapsed="false">
      <c r="A77" s="11" t="s">
        <v>197</v>
      </c>
      <c r="B77" s="11" t="s">
        <v>198</v>
      </c>
      <c r="C77" s="11" t="s">
        <v>46</v>
      </c>
      <c r="D77" s="11" t="s">
        <v>41</v>
      </c>
      <c r="E77" s="11" t="s">
        <v>42</v>
      </c>
      <c r="F77" s="11" t="s">
        <v>69</v>
      </c>
      <c r="G77" s="11" t="n">
        <v>234</v>
      </c>
      <c r="H77" s="12" t="n">
        <v>22.18</v>
      </c>
      <c r="I77" s="12" t="n">
        <v>47</v>
      </c>
      <c r="J77" s="13" t="n">
        <v>0.1</v>
      </c>
    </row>
    <row r="78" customFormat="false" ht="15" hidden="false" customHeight="false" outlineLevel="0" collapsed="false">
      <c r="A78" s="8" t="s">
        <v>199</v>
      </c>
      <c r="B78" s="8" t="s">
        <v>200</v>
      </c>
      <c r="C78" s="8" t="s">
        <v>46</v>
      </c>
      <c r="D78" s="8" t="s">
        <v>72</v>
      </c>
      <c r="E78" s="8" t="s">
        <v>73</v>
      </c>
      <c r="F78" s="8" t="s">
        <v>69</v>
      </c>
      <c r="G78" s="8" t="n">
        <v>285</v>
      </c>
      <c r="H78" s="9" t="n">
        <v>28.5</v>
      </c>
      <c r="I78" s="9" t="n">
        <v>61.83</v>
      </c>
      <c r="J78" s="10" t="n">
        <v>0.15</v>
      </c>
    </row>
    <row r="79" customFormat="false" ht="15" hidden="false" customHeight="false" outlineLevel="0" collapsed="false">
      <c r="A79" s="11" t="s">
        <v>201</v>
      </c>
      <c r="B79" s="11" t="s">
        <v>134</v>
      </c>
      <c r="C79" s="11" t="s">
        <v>61</v>
      </c>
      <c r="D79" s="11" t="s">
        <v>114</v>
      </c>
      <c r="E79" s="11" t="s">
        <v>73</v>
      </c>
      <c r="F79" s="11" t="s">
        <v>47</v>
      </c>
      <c r="G79" s="11" t="n">
        <v>159</v>
      </c>
      <c r="H79" s="12" t="n">
        <v>13.59</v>
      </c>
      <c r="I79" s="12" t="n">
        <v>30.46</v>
      </c>
      <c r="J79" s="13" t="n">
        <v>0.15</v>
      </c>
    </row>
    <row r="80" customFormat="false" ht="15" hidden="false" customHeight="false" outlineLevel="0" collapsed="false">
      <c r="A80" s="8" t="s">
        <v>202</v>
      </c>
      <c r="B80" s="8" t="s">
        <v>203</v>
      </c>
      <c r="C80" s="8" t="s">
        <v>90</v>
      </c>
      <c r="D80" s="8" t="s">
        <v>72</v>
      </c>
      <c r="E80" s="8" t="s">
        <v>73</v>
      </c>
      <c r="F80" s="8" t="s">
        <v>43</v>
      </c>
      <c r="G80" s="8" t="n">
        <v>161</v>
      </c>
      <c r="H80" s="9" t="n">
        <v>27.6</v>
      </c>
      <c r="I80" s="9" t="n">
        <v>59.85</v>
      </c>
      <c r="J80" s="10" t="n">
        <v>0</v>
      </c>
    </row>
    <row r="81" customFormat="false" ht="15" hidden="false" customHeight="false" outlineLevel="0" collapsed="false">
      <c r="A81" s="11" t="s">
        <v>204</v>
      </c>
      <c r="B81" s="11" t="s">
        <v>106</v>
      </c>
      <c r="C81" s="11" t="s">
        <v>205</v>
      </c>
      <c r="D81" s="11" t="s">
        <v>56</v>
      </c>
      <c r="E81" s="11" t="s">
        <v>52</v>
      </c>
      <c r="F81" s="11" t="s">
        <v>47</v>
      </c>
      <c r="G81" s="11" t="n">
        <v>291</v>
      </c>
      <c r="H81" s="12" t="n">
        <v>51.42</v>
      </c>
      <c r="I81" s="12" t="n">
        <v>83.08</v>
      </c>
      <c r="J81" s="13" t="n">
        <v>0.15</v>
      </c>
    </row>
    <row r="82" customFormat="false" ht="15" hidden="false" customHeight="false" outlineLevel="0" collapsed="false">
      <c r="A82" s="8" t="s">
        <v>206</v>
      </c>
      <c r="B82" s="8" t="s">
        <v>94</v>
      </c>
      <c r="C82" s="8" t="s">
        <v>61</v>
      </c>
      <c r="D82" s="8" t="s">
        <v>56</v>
      </c>
      <c r="E82" s="8" t="s">
        <v>52</v>
      </c>
      <c r="F82" s="8" t="s">
        <v>43</v>
      </c>
      <c r="G82" s="8" t="n">
        <v>188</v>
      </c>
      <c r="H82" s="9" t="n">
        <v>49.8</v>
      </c>
      <c r="I82" s="9" t="n">
        <v>84.92</v>
      </c>
      <c r="J82" s="10" t="n">
        <v>0.05</v>
      </c>
    </row>
    <row r="83" customFormat="false" ht="15" hidden="false" customHeight="false" outlineLevel="0" collapsed="false">
      <c r="A83" s="11" t="s">
        <v>207</v>
      </c>
      <c r="B83" s="11" t="s">
        <v>208</v>
      </c>
      <c r="C83" s="11" t="s">
        <v>61</v>
      </c>
      <c r="D83" s="11" t="s">
        <v>56</v>
      </c>
      <c r="E83" s="11" t="s">
        <v>52</v>
      </c>
      <c r="F83" s="11" t="s">
        <v>69</v>
      </c>
      <c r="G83" s="11" t="n">
        <v>143</v>
      </c>
      <c r="H83" s="12" t="n">
        <v>49.51</v>
      </c>
      <c r="I83" s="12" t="n">
        <v>82.74</v>
      </c>
      <c r="J83" s="13" t="n">
        <v>0.15</v>
      </c>
    </row>
    <row r="84" customFormat="false" ht="15" hidden="false" customHeight="false" outlineLevel="0" collapsed="false">
      <c r="A84" s="8" t="s">
        <v>209</v>
      </c>
      <c r="B84" s="8" t="s">
        <v>210</v>
      </c>
      <c r="C84" s="8" t="s">
        <v>40</v>
      </c>
      <c r="D84" s="8" t="s">
        <v>72</v>
      </c>
      <c r="E84" s="8" t="s">
        <v>73</v>
      </c>
      <c r="F84" s="8" t="s">
        <v>43</v>
      </c>
      <c r="G84" s="8" t="n">
        <v>242</v>
      </c>
      <c r="H84" s="9" t="n">
        <v>28.75</v>
      </c>
      <c r="I84" s="9" t="n">
        <v>57.67</v>
      </c>
      <c r="J84" s="10" t="n">
        <v>0</v>
      </c>
    </row>
    <row r="85" customFormat="false" ht="15" hidden="false" customHeight="false" outlineLevel="0" collapsed="false">
      <c r="A85" s="11" t="s">
        <v>211</v>
      </c>
      <c r="B85" s="11" t="s">
        <v>148</v>
      </c>
      <c r="C85" s="11" t="s">
        <v>46</v>
      </c>
      <c r="D85" s="11" t="s">
        <v>114</v>
      </c>
      <c r="E85" s="11" t="s">
        <v>73</v>
      </c>
      <c r="F85" s="11" t="s">
        <v>43</v>
      </c>
      <c r="G85" s="11" t="n">
        <v>248</v>
      </c>
      <c r="H85" s="12" t="n">
        <v>13.96</v>
      </c>
      <c r="I85" s="12" t="n">
        <v>30.11</v>
      </c>
      <c r="J85" s="13" t="n">
        <v>0.05</v>
      </c>
    </row>
    <row r="86" customFormat="false" ht="15" hidden="false" customHeight="false" outlineLevel="0" collapsed="false">
      <c r="A86" s="8" t="s">
        <v>212</v>
      </c>
      <c r="B86" s="8" t="s">
        <v>213</v>
      </c>
      <c r="C86" s="8" t="s">
        <v>46</v>
      </c>
      <c r="D86" s="8" t="s">
        <v>51</v>
      </c>
      <c r="E86" s="8" t="s">
        <v>52</v>
      </c>
      <c r="F86" s="8" t="s">
        <v>47</v>
      </c>
      <c r="G86" s="8" t="n">
        <v>317</v>
      </c>
      <c r="H86" s="9" t="n">
        <v>69.48</v>
      </c>
      <c r="I86" s="9" t="n">
        <v>120.37</v>
      </c>
      <c r="J86" s="10" t="n">
        <v>0.1</v>
      </c>
    </row>
    <row r="87" customFormat="false" ht="15" hidden="false" customHeight="false" outlineLevel="0" collapsed="false">
      <c r="A87" s="11" t="s">
        <v>214</v>
      </c>
      <c r="B87" s="11" t="s">
        <v>215</v>
      </c>
      <c r="C87" s="11" t="s">
        <v>46</v>
      </c>
      <c r="D87" s="11" t="s">
        <v>41</v>
      </c>
      <c r="E87" s="11" t="s">
        <v>42</v>
      </c>
      <c r="F87" s="11" t="s">
        <v>43</v>
      </c>
      <c r="G87" s="11" t="n">
        <v>243</v>
      </c>
      <c r="H87" s="12" t="n">
        <v>22.16</v>
      </c>
      <c r="I87" s="12" t="n">
        <v>45.43</v>
      </c>
      <c r="J87" s="13" t="n">
        <v>0.1</v>
      </c>
    </row>
    <row r="88" customFormat="false" ht="15" hidden="false" customHeight="false" outlineLevel="0" collapsed="false">
      <c r="A88" s="8" t="s">
        <v>216</v>
      </c>
      <c r="B88" s="8" t="s">
        <v>217</v>
      </c>
      <c r="C88" s="8" t="s">
        <v>90</v>
      </c>
      <c r="D88" s="8" t="s">
        <v>41</v>
      </c>
      <c r="E88" s="8" t="s">
        <v>42</v>
      </c>
      <c r="F88" s="8" t="s">
        <v>43</v>
      </c>
      <c r="G88" s="8" t="n">
        <v>202</v>
      </c>
      <c r="H88" s="9" t="n">
        <v>22.51</v>
      </c>
      <c r="I88" s="9" t="n">
        <v>45.57</v>
      </c>
      <c r="J88" s="10" t="n">
        <v>0.1</v>
      </c>
    </row>
    <row r="89" customFormat="false" ht="15" hidden="false" customHeight="false" outlineLevel="0" collapsed="false">
      <c r="A89" s="11" t="s">
        <v>218</v>
      </c>
      <c r="B89" s="11" t="s">
        <v>219</v>
      </c>
      <c r="C89" s="11" t="s">
        <v>55</v>
      </c>
      <c r="D89" s="11" t="s">
        <v>51</v>
      </c>
      <c r="E89" s="11" t="s">
        <v>52</v>
      </c>
      <c r="F89" s="11" t="s">
        <v>47</v>
      </c>
      <c r="G89" s="11"/>
      <c r="H89" s="12" t="n">
        <v>68.44</v>
      </c>
      <c r="I89" s="12" t="n">
        <v>115.78</v>
      </c>
      <c r="J89" s="13" t="n">
        <v>0.05</v>
      </c>
    </row>
    <row r="90" customFormat="false" ht="15" hidden="false" customHeight="false" outlineLevel="0" collapsed="false">
      <c r="A90" s="8" t="s">
        <v>220</v>
      </c>
      <c r="B90" s="8" t="s">
        <v>221</v>
      </c>
      <c r="C90" s="8" t="s">
        <v>46</v>
      </c>
      <c r="D90" s="8" t="s">
        <v>56</v>
      </c>
      <c r="E90" s="8" t="s">
        <v>52</v>
      </c>
      <c r="F90" s="8" t="s">
        <v>69</v>
      </c>
      <c r="G90" s="8" t="n">
        <v>292</v>
      </c>
      <c r="H90" s="9" t="n">
        <v>50.01</v>
      </c>
      <c r="I90" s="9" t="n">
        <v>81.68</v>
      </c>
      <c r="J90" s="10" t="n">
        <v>0.15</v>
      </c>
    </row>
    <row r="91" customFormat="false" ht="15" hidden="false" customHeight="false" outlineLevel="0" collapsed="false">
      <c r="A91" s="11" t="s">
        <v>222</v>
      </c>
      <c r="B91" s="11" t="s">
        <v>223</v>
      </c>
      <c r="C91" s="11" t="s">
        <v>55</v>
      </c>
      <c r="D91" s="11" t="s">
        <v>41</v>
      </c>
      <c r="E91" s="11" t="s">
        <v>42</v>
      </c>
      <c r="F91" s="11" t="s">
        <v>47</v>
      </c>
      <c r="G91" s="11" t="n">
        <v>237</v>
      </c>
      <c r="H91" s="12" t="n">
        <v>21.5</v>
      </c>
      <c r="I91" s="12" t="n">
        <v>43.88</v>
      </c>
      <c r="J91" s="13" t="n">
        <v>0</v>
      </c>
    </row>
    <row r="92" customFormat="false" ht="15" hidden="false" customHeight="false" outlineLevel="0" collapsed="false">
      <c r="A92" s="8" t="s">
        <v>224</v>
      </c>
      <c r="B92" s="8" t="s">
        <v>184</v>
      </c>
      <c r="C92" s="8" t="s">
        <v>46</v>
      </c>
      <c r="D92" s="8" t="s">
        <v>114</v>
      </c>
      <c r="E92" s="8" t="s">
        <v>73</v>
      </c>
      <c r="F92" s="8" t="s">
        <v>47</v>
      </c>
      <c r="G92" s="8" t="n">
        <v>199</v>
      </c>
      <c r="H92" s="9" t="n">
        <v>14.4</v>
      </c>
      <c r="I92" s="9" t="n">
        <v>29.7</v>
      </c>
      <c r="J92" s="10" t="n">
        <v>0.15</v>
      </c>
    </row>
    <row r="93" customFormat="false" ht="15" hidden="false" customHeight="false" outlineLevel="0" collapsed="false">
      <c r="A93" s="11" t="s">
        <v>225</v>
      </c>
      <c r="B93" s="11" t="s">
        <v>226</v>
      </c>
      <c r="C93" s="11" t="s">
        <v>46</v>
      </c>
      <c r="D93" s="11" t="s">
        <v>72</v>
      </c>
      <c r="E93" s="11" t="s">
        <v>73</v>
      </c>
      <c r="F93" s="11" t="s">
        <v>47</v>
      </c>
      <c r="G93" s="11" t="n">
        <v>177</v>
      </c>
      <c r="H93" s="12" t="n">
        <v>27.9</v>
      </c>
      <c r="I93" s="12" t="n">
        <v>60.9</v>
      </c>
      <c r="J93" s="13" t="n">
        <v>0.15</v>
      </c>
    </row>
    <row r="94" customFormat="false" ht="15" hidden="false" customHeight="false" outlineLevel="0" collapsed="false">
      <c r="A94" s="8" t="s">
        <v>227</v>
      </c>
      <c r="B94" s="8" t="s">
        <v>228</v>
      </c>
      <c r="C94" s="8" t="s">
        <v>61</v>
      </c>
      <c r="D94" s="8" t="s">
        <v>41</v>
      </c>
      <c r="E94" s="8" t="s">
        <v>42</v>
      </c>
      <c r="F94" s="8" t="s">
        <v>43</v>
      </c>
      <c r="G94" s="8" t="n">
        <v>148</v>
      </c>
      <c r="H94" s="9" t="n">
        <v>22.54</v>
      </c>
      <c r="I94" s="9" t="n">
        <v>44.46</v>
      </c>
      <c r="J94" s="10" t="n">
        <v>0.05</v>
      </c>
    </row>
    <row r="95" customFormat="false" ht="15" hidden="false" customHeight="false" outlineLevel="0" collapsed="false">
      <c r="A95" s="11" t="s">
        <v>229</v>
      </c>
      <c r="B95" s="11" t="s">
        <v>144</v>
      </c>
      <c r="C95" s="11" t="s">
        <v>40</v>
      </c>
      <c r="D95" s="11" t="s">
        <v>72</v>
      </c>
      <c r="E95" s="11" t="s">
        <v>73</v>
      </c>
      <c r="F95" s="11" t="s">
        <v>69</v>
      </c>
      <c r="G95" s="11" t="n">
        <v>280</v>
      </c>
      <c r="H95" s="12" t="n">
        <v>27.33</v>
      </c>
      <c r="I95" s="12" t="n">
        <v>58.87</v>
      </c>
      <c r="J95" s="13" t="n">
        <v>0.15</v>
      </c>
    </row>
    <row r="96" customFormat="false" ht="15" hidden="false" customHeight="false" outlineLevel="0" collapsed="false">
      <c r="A96" s="8" t="s">
        <v>230</v>
      </c>
      <c r="B96" s="8" t="s">
        <v>231</v>
      </c>
      <c r="C96" s="8" t="s">
        <v>40</v>
      </c>
      <c r="D96" s="8" t="s">
        <v>114</v>
      </c>
      <c r="E96" s="8" t="s">
        <v>73</v>
      </c>
      <c r="F96" s="8" t="s">
        <v>43</v>
      </c>
      <c r="G96" s="8" t="n">
        <v>122</v>
      </c>
      <c r="H96" s="9" t="n">
        <v>13.95</v>
      </c>
      <c r="I96" s="9" t="n">
        <v>29.89</v>
      </c>
      <c r="J96" s="10" t="n">
        <v>0</v>
      </c>
    </row>
    <row r="97" customFormat="false" ht="15" hidden="false" customHeight="false" outlineLevel="0" collapsed="false">
      <c r="A97" s="11" t="s">
        <v>232</v>
      </c>
      <c r="B97" s="11" t="s">
        <v>217</v>
      </c>
      <c r="C97" s="11" t="s">
        <v>55</v>
      </c>
      <c r="D97" s="11" t="s">
        <v>41</v>
      </c>
      <c r="E97" s="11" t="s">
        <v>42</v>
      </c>
      <c r="F97" s="11" t="s">
        <v>47</v>
      </c>
      <c r="G97" s="11" t="n">
        <v>233</v>
      </c>
      <c r="H97" s="12" t="n">
        <v>22.22</v>
      </c>
      <c r="I97" s="12" t="n">
        <v>44.49</v>
      </c>
      <c r="J97" s="13" t="n">
        <v>0</v>
      </c>
    </row>
    <row r="98" customFormat="false" ht="15" hidden="false" customHeight="false" outlineLevel="0" collapsed="false">
      <c r="A98" s="8" t="s">
        <v>233</v>
      </c>
      <c r="B98" s="8" t="s">
        <v>234</v>
      </c>
      <c r="C98" s="8" t="s">
        <v>61</v>
      </c>
      <c r="D98" s="8" t="s">
        <v>51</v>
      </c>
      <c r="E98" s="8" t="s">
        <v>52</v>
      </c>
      <c r="F98" s="8" t="s">
        <v>69</v>
      </c>
      <c r="G98" s="8" t="n">
        <v>181</v>
      </c>
      <c r="H98" s="9" t="n">
        <v>70.23</v>
      </c>
      <c r="I98" s="9" t="n">
        <v>114.25</v>
      </c>
      <c r="J98" s="10" t="n">
        <v>0.15</v>
      </c>
    </row>
    <row r="99" customFormat="false" ht="15" hidden="false" customHeight="false" outlineLevel="0" collapsed="false">
      <c r="A99" s="11" t="s">
        <v>235</v>
      </c>
      <c r="B99" s="11" t="s">
        <v>94</v>
      </c>
      <c r="C99" s="11" t="s">
        <v>55</v>
      </c>
      <c r="D99" s="11" t="s">
        <v>56</v>
      </c>
      <c r="E99" s="11" t="s">
        <v>52</v>
      </c>
      <c r="F99" s="11" t="s">
        <v>47</v>
      </c>
      <c r="G99" s="11" t="n">
        <v>248</v>
      </c>
      <c r="H99" s="12" t="n">
        <v>49.33</v>
      </c>
      <c r="I99" s="12" t="n">
        <v>88.23</v>
      </c>
      <c r="J99" s="13" t="n">
        <v>0.1</v>
      </c>
    </row>
    <row r="100" customFormat="false" ht="15" hidden="false" customHeight="false" outlineLevel="0" collapsed="false">
      <c r="A100" s="8" t="s">
        <v>236</v>
      </c>
      <c r="B100" s="8" t="s">
        <v>172</v>
      </c>
      <c r="C100" s="8" t="s">
        <v>40</v>
      </c>
      <c r="D100" s="8" t="s">
        <v>56</v>
      </c>
      <c r="E100" s="8" t="s">
        <v>52</v>
      </c>
      <c r="F100" s="8" t="s">
        <v>47</v>
      </c>
      <c r="G100" s="8" t="n">
        <v>165</v>
      </c>
      <c r="H100" s="9" t="n">
        <v>51.04</v>
      </c>
      <c r="I100" s="9" t="n">
        <v>82.88</v>
      </c>
      <c r="J100" s="10" t="n">
        <v>0</v>
      </c>
    </row>
    <row r="101" customFormat="false" ht="15" hidden="false" customHeight="false" outlineLevel="0" collapsed="false">
      <c r="A101" s="11" t="s">
        <v>237</v>
      </c>
      <c r="B101" s="11" t="s">
        <v>60</v>
      </c>
      <c r="C101" s="11" t="s">
        <v>40</v>
      </c>
      <c r="D101" s="11" t="s">
        <v>41</v>
      </c>
      <c r="E101" s="11" t="s">
        <v>42</v>
      </c>
      <c r="F101" s="11" t="s">
        <v>43</v>
      </c>
      <c r="G101" s="11" t="n">
        <v>166</v>
      </c>
      <c r="H101" s="12" t="n">
        <v>21.69</v>
      </c>
      <c r="I101" s="12" t="n">
        <v>43.8</v>
      </c>
      <c r="J101" s="13" t="n">
        <v>0.15</v>
      </c>
    </row>
    <row r="102" customFormat="false" ht="15" hidden="false" customHeight="false" outlineLevel="0" collapsed="false">
      <c r="A102" s="8" t="s">
        <v>238</v>
      </c>
      <c r="B102" s="8" t="s">
        <v>239</v>
      </c>
      <c r="C102" s="8" t="s">
        <v>61</v>
      </c>
      <c r="D102" s="8" t="s">
        <v>41</v>
      </c>
      <c r="E102" s="8" t="s">
        <v>42</v>
      </c>
      <c r="F102" s="8" t="s">
        <v>43</v>
      </c>
      <c r="G102" s="8" t="n">
        <v>215</v>
      </c>
      <c r="H102" s="9" t="n">
        <v>22.44</v>
      </c>
      <c r="I102" s="9" t="n">
        <v>43.46</v>
      </c>
      <c r="J102" s="10" t="n">
        <v>0.05</v>
      </c>
    </row>
    <row r="103" customFormat="false" ht="15" hidden="false" customHeight="false" outlineLevel="0" collapsed="false">
      <c r="A103" s="11" t="s">
        <v>240</v>
      </c>
      <c r="B103" s="11" t="s">
        <v>241</v>
      </c>
      <c r="C103" s="11" t="s">
        <v>46</v>
      </c>
      <c r="D103" s="11" t="s">
        <v>51</v>
      </c>
      <c r="E103" s="11" t="s">
        <v>52</v>
      </c>
      <c r="F103" s="11" t="s">
        <v>47</v>
      </c>
      <c r="G103" s="11" t="n">
        <v>210</v>
      </c>
      <c r="H103" s="12" t="n">
        <v>71.46</v>
      </c>
      <c r="I103" s="12" t="n">
        <v>115.16</v>
      </c>
      <c r="J103" s="13" t="n">
        <v>0.15</v>
      </c>
    </row>
    <row r="104" customFormat="false" ht="15" hidden="false" customHeight="false" outlineLevel="0" collapsed="false">
      <c r="A104" s="8" t="s">
        <v>242</v>
      </c>
      <c r="B104" s="8" t="s">
        <v>243</v>
      </c>
      <c r="C104" s="8" t="s">
        <v>40</v>
      </c>
      <c r="D104" s="8" t="s">
        <v>56</v>
      </c>
      <c r="E104" s="8" t="s">
        <v>52</v>
      </c>
      <c r="F104" s="8" t="s">
        <v>69</v>
      </c>
      <c r="G104" s="8" t="n">
        <v>147</v>
      </c>
      <c r="H104" s="9" t="n">
        <v>51.22</v>
      </c>
      <c r="I104" s="9" t="n">
        <v>84.9</v>
      </c>
      <c r="J104" s="10" t="n">
        <v>0</v>
      </c>
    </row>
    <row r="105" customFormat="false" ht="15" hidden="false" customHeight="false" outlineLevel="0" collapsed="false">
      <c r="A105" s="11" t="s">
        <v>244</v>
      </c>
      <c r="B105" s="11" t="s">
        <v>245</v>
      </c>
      <c r="C105" s="11" t="s">
        <v>40</v>
      </c>
      <c r="D105" s="11" t="s">
        <v>72</v>
      </c>
      <c r="E105" s="11" t="s">
        <v>73</v>
      </c>
      <c r="F105" s="11" t="s">
        <v>43</v>
      </c>
      <c r="G105" s="11" t="n">
        <v>167</v>
      </c>
      <c r="H105" s="12" t="n">
        <v>28.49</v>
      </c>
      <c r="I105" s="12" t="n">
        <v>57.36</v>
      </c>
      <c r="J105" s="13" t="n">
        <v>0.15</v>
      </c>
    </row>
    <row r="106" customFormat="false" ht="15" hidden="false" customHeight="false" outlineLevel="0" collapsed="false">
      <c r="A106" s="8" t="s">
        <v>246</v>
      </c>
      <c r="B106" s="8" t="s">
        <v>247</v>
      </c>
      <c r="C106" s="8" t="s">
        <v>40</v>
      </c>
      <c r="D106" s="8" t="s">
        <v>41</v>
      </c>
      <c r="E106" s="8" t="s">
        <v>42</v>
      </c>
      <c r="F106" s="8" t="s">
        <v>47</v>
      </c>
      <c r="G106" s="8" t="n">
        <v>306</v>
      </c>
      <c r="H106" s="9" t="n">
        <v>22.45</v>
      </c>
      <c r="I106" s="9" t="n">
        <v>43.15</v>
      </c>
      <c r="J106" s="10" t="n">
        <v>0</v>
      </c>
    </row>
    <row r="107" customFormat="false" ht="15" hidden="false" customHeight="false" outlineLevel="0" collapsed="false">
      <c r="A107" s="11" t="s">
        <v>248</v>
      </c>
      <c r="B107" s="11" t="s">
        <v>249</v>
      </c>
      <c r="C107" s="11" t="s">
        <v>55</v>
      </c>
      <c r="D107" s="11" t="s">
        <v>114</v>
      </c>
      <c r="E107" s="11" t="s">
        <v>73</v>
      </c>
      <c r="F107" s="11" t="s">
        <v>69</v>
      </c>
      <c r="G107" s="11" t="n">
        <v>249</v>
      </c>
      <c r="H107" s="12" t="n">
        <v>14.38</v>
      </c>
      <c r="I107" s="12" t="n">
        <v>28.71</v>
      </c>
      <c r="J107" s="13" t="n">
        <v>0</v>
      </c>
    </row>
    <row r="108" customFormat="false" ht="15" hidden="false" customHeight="false" outlineLevel="0" collapsed="false">
      <c r="A108" s="8" t="s">
        <v>250</v>
      </c>
      <c r="B108" s="8" t="s">
        <v>251</v>
      </c>
      <c r="C108" s="8" t="s">
        <v>61</v>
      </c>
      <c r="D108" s="8" t="s">
        <v>72</v>
      </c>
      <c r="E108" s="8" t="s">
        <v>73</v>
      </c>
      <c r="F108" s="8" t="s">
        <v>47</v>
      </c>
      <c r="G108" s="8" t="n">
        <v>197</v>
      </c>
      <c r="H108" s="9" t="n">
        <v>28.56</v>
      </c>
      <c r="I108" s="9" t="n">
        <v>62.11</v>
      </c>
      <c r="J108" s="10" t="n">
        <v>0</v>
      </c>
    </row>
    <row r="109" customFormat="false" ht="15" hidden="false" customHeight="false" outlineLevel="0" collapsed="false">
      <c r="A109" s="11" t="s">
        <v>252</v>
      </c>
      <c r="B109" s="11" t="s">
        <v>253</v>
      </c>
      <c r="C109" s="11" t="s">
        <v>40</v>
      </c>
      <c r="D109" s="11" t="s">
        <v>114</v>
      </c>
      <c r="E109" s="11" t="s">
        <v>73</v>
      </c>
      <c r="F109" s="11" t="s">
        <v>43</v>
      </c>
      <c r="G109" s="11" t="n">
        <v>180</v>
      </c>
      <c r="H109" s="12" t="n">
        <v>14.27</v>
      </c>
      <c r="I109" s="12" t="n">
        <v>31.35</v>
      </c>
      <c r="J109" s="13" t="n">
        <v>0</v>
      </c>
    </row>
    <row r="110" customFormat="false" ht="15" hidden="false" customHeight="false" outlineLevel="0" collapsed="false">
      <c r="A110" s="8" t="s">
        <v>254</v>
      </c>
      <c r="B110" s="8" t="s">
        <v>255</v>
      </c>
      <c r="C110" s="8" t="s">
        <v>46</v>
      </c>
      <c r="D110" s="8" t="s">
        <v>114</v>
      </c>
      <c r="E110" s="8" t="s">
        <v>73</v>
      </c>
      <c r="F110" s="8" t="s">
        <v>43</v>
      </c>
      <c r="G110" s="8" t="n">
        <v>206</v>
      </c>
      <c r="H110" s="9" t="n">
        <v>14.04</v>
      </c>
      <c r="I110" s="9" t="n">
        <v>30.99</v>
      </c>
      <c r="J110" s="10" t="n">
        <v>0</v>
      </c>
    </row>
    <row r="111" customFormat="false" ht="15" hidden="false" customHeight="false" outlineLevel="0" collapsed="false">
      <c r="A111" s="11" t="s">
        <v>256</v>
      </c>
      <c r="B111" s="11" t="s">
        <v>257</v>
      </c>
      <c r="C111" s="11" t="s">
        <v>55</v>
      </c>
      <c r="D111" s="11" t="s">
        <v>114</v>
      </c>
      <c r="E111" s="11" t="s">
        <v>73</v>
      </c>
      <c r="F111" s="11" t="s">
        <v>69</v>
      </c>
      <c r="G111" s="11" t="n">
        <v>208</v>
      </c>
      <c r="H111" s="12" t="n">
        <v>14.38</v>
      </c>
      <c r="I111" s="12" t="n">
        <v>30.73</v>
      </c>
      <c r="J111" s="13" t="n">
        <v>0</v>
      </c>
    </row>
    <row r="112" customFormat="false" ht="15" hidden="false" customHeight="false" outlineLevel="0" collapsed="false">
      <c r="A112" s="8" t="s">
        <v>258</v>
      </c>
      <c r="B112" s="8" t="s">
        <v>259</v>
      </c>
      <c r="C112" s="8" t="s">
        <v>55</v>
      </c>
      <c r="D112" s="8" t="s">
        <v>72</v>
      </c>
      <c r="E112" s="8" t="s">
        <v>73</v>
      </c>
      <c r="F112" s="8" t="s">
        <v>69</v>
      </c>
      <c r="G112" s="8" t="n">
        <v>259</v>
      </c>
      <c r="H112" s="9" t="n">
        <v>27.9</v>
      </c>
      <c r="I112" s="9" t="n">
        <v>60.11</v>
      </c>
      <c r="J112" s="10" t="n">
        <v>0.05</v>
      </c>
    </row>
    <row r="113" customFormat="false" ht="15" hidden="false" customHeight="false" outlineLevel="0" collapsed="false">
      <c r="A113" s="11" t="s">
        <v>260</v>
      </c>
      <c r="B113" s="11" t="s">
        <v>261</v>
      </c>
      <c r="C113" s="11" t="s">
        <v>40</v>
      </c>
      <c r="D113" s="11" t="s">
        <v>72</v>
      </c>
      <c r="E113" s="11" t="s">
        <v>73</v>
      </c>
      <c r="F113" s="11" t="s">
        <v>43</v>
      </c>
      <c r="G113" s="11" t="n">
        <v>190</v>
      </c>
      <c r="H113" s="12" t="n">
        <v>27.74</v>
      </c>
      <c r="I113" s="12" t="n">
        <v>60.23</v>
      </c>
      <c r="J113" s="13" t="n">
        <v>0.15</v>
      </c>
    </row>
    <row r="114" customFormat="false" ht="15" hidden="false" customHeight="false" outlineLevel="0" collapsed="false">
      <c r="A114" s="8" t="s">
        <v>262</v>
      </c>
      <c r="B114" s="8" t="s">
        <v>263</v>
      </c>
      <c r="C114" s="8" t="s">
        <v>61</v>
      </c>
      <c r="D114" s="8" t="s">
        <v>114</v>
      </c>
      <c r="E114" s="8" t="s">
        <v>73</v>
      </c>
      <c r="F114" s="8" t="s">
        <v>47</v>
      </c>
      <c r="G114" s="8" t="n">
        <v>232</v>
      </c>
      <c r="H114" s="9" t="n">
        <v>13.69</v>
      </c>
      <c r="I114" s="9" t="n">
        <v>31.16</v>
      </c>
      <c r="J114" s="10" t="n">
        <v>0.1</v>
      </c>
    </row>
    <row r="115" customFormat="false" ht="15" hidden="false" customHeight="false" outlineLevel="0" collapsed="false">
      <c r="A115" s="11" t="s">
        <v>264</v>
      </c>
      <c r="B115" s="11" t="s">
        <v>265</v>
      </c>
      <c r="C115" s="11" t="s">
        <v>46</v>
      </c>
      <c r="D115" s="11" t="s">
        <v>51</v>
      </c>
      <c r="E115" s="11" t="s">
        <v>52</v>
      </c>
      <c r="F115" s="11" t="s">
        <v>47</v>
      </c>
      <c r="G115" s="11" t="n">
        <v>364</v>
      </c>
      <c r="H115" s="12" t="n">
        <v>70.11</v>
      </c>
      <c r="I115" s="12" t="n">
        <v>122.9</v>
      </c>
      <c r="J115" s="13" t="n">
        <v>0</v>
      </c>
    </row>
    <row r="116" customFormat="false" ht="15" hidden="false" customHeight="false" outlineLevel="0" collapsed="false">
      <c r="A116" s="8" t="s">
        <v>266</v>
      </c>
      <c r="B116" s="8" t="s">
        <v>267</v>
      </c>
      <c r="C116" s="8" t="s">
        <v>40</v>
      </c>
      <c r="D116" s="8" t="s">
        <v>56</v>
      </c>
      <c r="E116" s="8" t="s">
        <v>52</v>
      </c>
      <c r="F116" s="8" t="s">
        <v>47</v>
      </c>
      <c r="G116" s="8" t="n">
        <v>224</v>
      </c>
      <c r="H116" s="9" t="n">
        <v>50.35</v>
      </c>
      <c r="I116" s="9" t="n">
        <v>88.42</v>
      </c>
      <c r="J116" s="10" t="n">
        <v>0.05</v>
      </c>
    </row>
    <row r="117" customFormat="false" ht="15" hidden="false" customHeight="false" outlineLevel="0" collapsed="false">
      <c r="A117" s="11" t="s">
        <v>268</v>
      </c>
      <c r="B117" s="11" t="s">
        <v>269</v>
      </c>
      <c r="C117" s="11" t="s">
        <v>46</v>
      </c>
      <c r="D117" s="11" t="s">
        <v>72</v>
      </c>
      <c r="E117" s="11" t="s">
        <v>73</v>
      </c>
      <c r="F117" s="11" t="s">
        <v>47</v>
      </c>
      <c r="G117" s="11" t="n">
        <v>213</v>
      </c>
      <c r="H117" s="12" t="n">
        <v>27.33</v>
      </c>
      <c r="I117" s="12" t="n">
        <v>59.6</v>
      </c>
      <c r="J117" s="13" t="n">
        <v>0</v>
      </c>
    </row>
    <row r="118" customFormat="false" ht="15" hidden="false" customHeight="false" outlineLevel="0" collapsed="false">
      <c r="A118" s="8" t="s">
        <v>270</v>
      </c>
      <c r="B118" s="8" t="s">
        <v>271</v>
      </c>
      <c r="C118" s="8" t="s">
        <v>40</v>
      </c>
      <c r="D118" s="8" t="s">
        <v>114</v>
      </c>
      <c r="E118" s="8" t="s">
        <v>73</v>
      </c>
      <c r="F118" s="8" t="s">
        <v>69</v>
      </c>
      <c r="G118" s="8" t="n">
        <v>224</v>
      </c>
      <c r="H118" s="9" t="n">
        <v>14.12</v>
      </c>
      <c r="I118" s="9" t="n">
        <v>30.13</v>
      </c>
      <c r="J118" s="10" t="n">
        <v>0.05</v>
      </c>
    </row>
    <row r="119" customFormat="false" ht="15" hidden="false" customHeight="false" outlineLevel="0" collapsed="false">
      <c r="A119" s="11" t="s">
        <v>272</v>
      </c>
      <c r="B119" s="11" t="s">
        <v>273</v>
      </c>
      <c r="C119" s="11" t="s">
        <v>46</v>
      </c>
      <c r="D119" s="11" t="s">
        <v>51</v>
      </c>
      <c r="E119" s="11" t="s">
        <v>52</v>
      </c>
      <c r="F119" s="11" t="s">
        <v>69</v>
      </c>
      <c r="G119" s="11" t="n">
        <v>187</v>
      </c>
      <c r="H119" s="12" t="n">
        <v>69.14</v>
      </c>
      <c r="I119" s="12" t="n">
        <v>123.99</v>
      </c>
      <c r="J119" s="13" t="n">
        <v>0.05</v>
      </c>
    </row>
    <row r="120" customFormat="false" ht="15" hidden="false" customHeight="false" outlineLevel="0" collapsed="false">
      <c r="A120" s="8" t="s">
        <v>195</v>
      </c>
      <c r="B120" s="8" t="s">
        <v>196</v>
      </c>
      <c r="C120" s="8" t="s">
        <v>46</v>
      </c>
      <c r="D120" s="8" t="s">
        <v>56</v>
      </c>
      <c r="E120" s="8" t="s">
        <v>52</v>
      </c>
      <c r="F120" s="8" t="s">
        <v>43</v>
      </c>
      <c r="G120" s="8" t="n">
        <v>313</v>
      </c>
      <c r="H120" s="9" t="n">
        <v>48.73</v>
      </c>
      <c r="I120" s="9" t="n">
        <v>84.73</v>
      </c>
      <c r="J120" s="10" t="n">
        <v>0</v>
      </c>
    </row>
    <row r="121" customFormat="false" ht="15" hidden="false" customHeight="false" outlineLevel="0" collapsed="false">
      <c r="A121" s="11" t="s">
        <v>274</v>
      </c>
      <c r="B121" s="11" t="s">
        <v>275</v>
      </c>
      <c r="C121" s="11" t="s">
        <v>55</v>
      </c>
      <c r="D121" s="11" t="s">
        <v>114</v>
      </c>
      <c r="E121" s="11" t="s">
        <v>73</v>
      </c>
      <c r="F121" s="11" t="s">
        <v>43</v>
      </c>
      <c r="G121" s="11" t="n">
        <v>284</v>
      </c>
      <c r="H121" s="12" t="n">
        <v>14.39</v>
      </c>
      <c r="I121" s="12" t="n">
        <v>29.39</v>
      </c>
      <c r="J121" s="13" t="n">
        <v>0.15</v>
      </c>
    </row>
    <row r="122" customFormat="false" ht="15" hidden="false" customHeight="false" outlineLevel="0" collapsed="false">
      <c r="A122" s="8" t="s">
        <v>276</v>
      </c>
      <c r="B122" s="8" t="s">
        <v>140</v>
      </c>
      <c r="C122" s="8" t="s">
        <v>46</v>
      </c>
      <c r="D122" s="8" t="s">
        <v>41</v>
      </c>
      <c r="E122" s="8" t="s">
        <v>42</v>
      </c>
      <c r="F122" s="8" t="s">
        <v>69</v>
      </c>
      <c r="G122" s="8" t="n">
        <v>259</v>
      </c>
      <c r="H122" s="9" t="n">
        <v>22.59</v>
      </c>
      <c r="I122" s="9" t="n">
        <v>44.05</v>
      </c>
      <c r="J122" s="10" t="n">
        <v>0.15</v>
      </c>
    </row>
    <row r="123" customFormat="false" ht="15" hidden="false" customHeight="false" outlineLevel="0" collapsed="false">
      <c r="A123" s="11" t="s">
        <v>277</v>
      </c>
      <c r="B123" s="11" t="s">
        <v>278</v>
      </c>
      <c r="C123" s="11" t="s">
        <v>55</v>
      </c>
      <c r="D123" s="11" t="s">
        <v>51</v>
      </c>
      <c r="E123" s="11" t="s">
        <v>52</v>
      </c>
      <c r="F123" s="11" t="s">
        <v>47</v>
      </c>
      <c r="G123" s="11" t="n">
        <v>213</v>
      </c>
      <c r="H123" s="12" t="n">
        <v>70.79</v>
      </c>
      <c r="I123" s="12" t="n">
        <v>115.49</v>
      </c>
      <c r="J123" s="13" t="n">
        <v>0.1</v>
      </c>
    </row>
    <row r="124" customFormat="false" ht="15" hidden="false" customHeight="false" outlineLevel="0" collapsed="false">
      <c r="A124" s="8" t="s">
        <v>279</v>
      </c>
      <c r="B124" s="8" t="s">
        <v>280</v>
      </c>
      <c r="C124" s="8" t="s">
        <v>46</v>
      </c>
      <c r="D124" s="8" t="s">
        <v>41</v>
      </c>
      <c r="E124" s="8" t="s">
        <v>42</v>
      </c>
      <c r="F124" s="8" t="s">
        <v>69</v>
      </c>
      <c r="G124" s="8" t="n">
        <v>311</v>
      </c>
      <c r="H124" s="9" t="n">
        <v>21.87</v>
      </c>
      <c r="I124" s="9" t="n">
        <v>45.72</v>
      </c>
      <c r="J124" s="10" t="n">
        <v>0.05</v>
      </c>
    </row>
    <row r="125" customFormat="false" ht="15" hidden="false" customHeight="false" outlineLevel="0" collapsed="false">
      <c r="A125" s="11" t="s">
        <v>252</v>
      </c>
      <c r="B125" s="11" t="s">
        <v>253</v>
      </c>
      <c r="C125" s="11" t="s">
        <v>40</v>
      </c>
      <c r="D125" s="11" t="s">
        <v>114</v>
      </c>
      <c r="E125" s="11" t="s">
        <v>73</v>
      </c>
      <c r="F125" s="11" t="s">
        <v>43</v>
      </c>
      <c r="G125" s="11" t="n">
        <v>180</v>
      </c>
      <c r="H125" s="12" t="n">
        <v>14.27</v>
      </c>
      <c r="I125" s="12" t="n">
        <v>31.35</v>
      </c>
      <c r="J125" s="13" t="n">
        <v>0</v>
      </c>
    </row>
    <row r="126" customFormat="false" ht="15" hidden="false" customHeight="false" outlineLevel="0" collapsed="false">
      <c r="A126" s="8" t="s">
        <v>281</v>
      </c>
      <c r="B126" s="8" t="s">
        <v>282</v>
      </c>
      <c r="C126" s="8" t="s">
        <v>46</v>
      </c>
      <c r="D126" s="8" t="s">
        <v>41</v>
      </c>
      <c r="E126" s="8" t="s">
        <v>42</v>
      </c>
      <c r="F126" s="8" t="s">
        <v>47</v>
      </c>
      <c r="G126" s="8" t="n">
        <v>359</v>
      </c>
      <c r="H126" s="9" t="n">
        <v>22.16</v>
      </c>
      <c r="I126" s="9" t="n">
        <v>43.46</v>
      </c>
      <c r="J126" s="10" t="n">
        <v>0</v>
      </c>
    </row>
    <row r="127" customFormat="false" ht="15" hidden="false" customHeight="false" outlineLevel="0" collapsed="false">
      <c r="A127" s="11" t="s">
        <v>283</v>
      </c>
      <c r="B127" s="11" t="s">
        <v>284</v>
      </c>
      <c r="C127" s="11" t="s">
        <v>46</v>
      </c>
      <c r="D127" s="11" t="s">
        <v>56</v>
      </c>
      <c r="E127" s="11" t="s">
        <v>52</v>
      </c>
      <c r="F127" s="11" t="s">
        <v>69</v>
      </c>
      <c r="G127" s="11" t="n">
        <v>158</v>
      </c>
      <c r="H127" s="12" t="n">
        <v>50.96</v>
      </c>
      <c r="I127" s="12" t="n">
        <v>81.72</v>
      </c>
      <c r="J127" s="13" t="n">
        <v>0.05</v>
      </c>
    </row>
    <row r="128" customFormat="false" ht="15" hidden="false" customHeight="false" outlineLevel="0" collapsed="false">
      <c r="A128" s="8" t="s">
        <v>285</v>
      </c>
      <c r="B128" s="8" t="s">
        <v>286</v>
      </c>
      <c r="C128" s="8" t="s">
        <v>46</v>
      </c>
      <c r="D128" s="8" t="s">
        <v>72</v>
      </c>
      <c r="E128" s="8" t="s">
        <v>73</v>
      </c>
      <c r="F128" s="8" t="s">
        <v>43</v>
      </c>
      <c r="G128" s="8" t="n">
        <v>277</v>
      </c>
      <c r="H128" s="9" t="n">
        <v>28.79</v>
      </c>
      <c r="I128" s="9" t="n">
        <v>57.69</v>
      </c>
      <c r="J128" s="10" t="n">
        <v>0</v>
      </c>
    </row>
    <row r="129" customFormat="false" ht="15" hidden="false" customHeight="false" outlineLevel="0" collapsed="false">
      <c r="A129" s="11" t="s">
        <v>287</v>
      </c>
      <c r="B129" s="11" t="s">
        <v>288</v>
      </c>
      <c r="C129" s="11" t="s">
        <v>61</v>
      </c>
      <c r="D129" s="11" t="s">
        <v>56</v>
      </c>
      <c r="E129" s="11" t="s">
        <v>52</v>
      </c>
      <c r="F129" s="11" t="s">
        <v>43</v>
      </c>
      <c r="G129" s="11" t="n">
        <v>119</v>
      </c>
      <c r="H129" s="12" t="n">
        <v>49.23</v>
      </c>
      <c r="I129" s="12" t="n">
        <v>84.41</v>
      </c>
      <c r="J129" s="13" t="n">
        <v>0.1</v>
      </c>
    </row>
    <row r="130" customFormat="false" ht="15" hidden="false" customHeight="false" outlineLevel="0" collapsed="false">
      <c r="A130" s="8" t="s">
        <v>289</v>
      </c>
      <c r="B130" s="8" t="s">
        <v>172</v>
      </c>
      <c r="C130" s="8" t="s">
        <v>55</v>
      </c>
      <c r="D130" s="8" t="s">
        <v>114</v>
      </c>
      <c r="E130" s="8" t="s">
        <v>73</v>
      </c>
      <c r="F130" s="8" t="s">
        <v>69</v>
      </c>
      <c r="G130" s="8" t="n">
        <v>160</v>
      </c>
      <c r="H130" s="9" t="n">
        <v>14.39</v>
      </c>
      <c r="I130" s="9" t="n">
        <v>28.88</v>
      </c>
      <c r="J130" s="10" t="n">
        <v>0.05</v>
      </c>
    </row>
    <row r="131" customFormat="false" ht="15" hidden="false" customHeight="false" outlineLevel="0" collapsed="false">
      <c r="A131" s="11" t="s">
        <v>290</v>
      </c>
      <c r="B131" s="11" t="s">
        <v>291</v>
      </c>
      <c r="C131" s="11" t="s">
        <v>46</v>
      </c>
      <c r="D131" s="11" t="s">
        <v>51</v>
      </c>
      <c r="E131" s="11" t="s">
        <v>52</v>
      </c>
      <c r="F131" s="11" t="s">
        <v>69</v>
      </c>
      <c r="G131" s="11" t="n">
        <v>170</v>
      </c>
      <c r="H131" s="12" t="n">
        <v>70.28</v>
      </c>
      <c r="I131" s="12" t="n">
        <v>116.89</v>
      </c>
      <c r="J131" s="13" t="n">
        <v>0</v>
      </c>
    </row>
    <row r="132" customFormat="false" ht="15" hidden="false" customHeight="false" outlineLevel="0" collapsed="false">
      <c r="A132" s="8" t="s">
        <v>292</v>
      </c>
      <c r="B132" s="8" t="s">
        <v>190</v>
      </c>
      <c r="C132" s="8" t="s">
        <v>40</v>
      </c>
      <c r="D132" s="8" t="s">
        <v>51</v>
      </c>
      <c r="E132" s="8" t="s">
        <v>52</v>
      </c>
      <c r="F132" s="8" t="s">
        <v>47</v>
      </c>
      <c r="G132" s="8" t="n">
        <v>154</v>
      </c>
      <c r="H132" s="9" t="n">
        <v>70.23</v>
      </c>
      <c r="I132" s="9" t="n">
        <v>122.37</v>
      </c>
      <c r="J132" s="10" t="n">
        <v>0</v>
      </c>
    </row>
    <row r="133" customFormat="false" ht="15" hidden="false" customHeight="false" outlineLevel="0" collapsed="false">
      <c r="A133" s="11" t="s">
        <v>293</v>
      </c>
      <c r="B133" s="11" t="s">
        <v>294</v>
      </c>
      <c r="C133" s="11" t="s">
        <v>55</v>
      </c>
      <c r="D133" s="11" t="s">
        <v>72</v>
      </c>
      <c r="E133" s="11" t="s">
        <v>73</v>
      </c>
      <c r="F133" s="11" t="s">
        <v>69</v>
      </c>
      <c r="G133" s="11" t="n">
        <v>328</v>
      </c>
      <c r="H133" s="12" t="n">
        <v>27.28</v>
      </c>
      <c r="I133" s="12" t="n">
        <v>60.94</v>
      </c>
      <c r="J133" s="13" t="n">
        <v>0</v>
      </c>
    </row>
    <row r="134" customFormat="false" ht="15" hidden="false" customHeight="false" outlineLevel="0" collapsed="false">
      <c r="A134" s="8" t="s">
        <v>295</v>
      </c>
      <c r="B134" s="8" t="s">
        <v>296</v>
      </c>
      <c r="C134" s="8" t="s">
        <v>297</v>
      </c>
      <c r="D134" s="8" t="s">
        <v>72</v>
      </c>
      <c r="E134" s="8" t="s">
        <v>73</v>
      </c>
      <c r="F134" s="8" t="s">
        <v>69</v>
      </c>
      <c r="G134" s="8" t="n">
        <v>179</v>
      </c>
      <c r="H134" s="9" t="n">
        <v>28.07</v>
      </c>
      <c r="I134" s="9" t="n">
        <v>60.91</v>
      </c>
      <c r="J134" s="10" t="n">
        <v>0</v>
      </c>
    </row>
    <row r="135" customFormat="false" ht="15" hidden="false" customHeight="false" outlineLevel="0" collapsed="false">
      <c r="A135" s="11" t="s">
        <v>298</v>
      </c>
      <c r="B135" s="11" t="s">
        <v>299</v>
      </c>
      <c r="C135" s="11" t="s">
        <v>40</v>
      </c>
      <c r="D135" s="11" t="s">
        <v>51</v>
      </c>
      <c r="E135" s="11" t="s">
        <v>52</v>
      </c>
      <c r="F135" s="11" t="s">
        <v>43</v>
      </c>
      <c r="G135" s="11" t="n">
        <v>98</v>
      </c>
      <c r="H135" s="12" t="n">
        <v>71.53</v>
      </c>
      <c r="I135" s="12" t="n">
        <v>118.93</v>
      </c>
      <c r="J135" s="13" t="n">
        <v>0</v>
      </c>
    </row>
    <row r="136" customFormat="false" ht="15" hidden="false" customHeight="false" outlineLevel="0" collapsed="false">
      <c r="A136" s="8" t="s">
        <v>300</v>
      </c>
      <c r="B136" s="8" t="s">
        <v>301</v>
      </c>
      <c r="C136" s="8" t="s">
        <v>40</v>
      </c>
      <c r="D136" s="8" t="s">
        <v>41</v>
      </c>
      <c r="E136" s="8" t="s">
        <v>42</v>
      </c>
      <c r="F136" s="8" t="s">
        <v>47</v>
      </c>
      <c r="G136" s="8" t="n">
        <v>145</v>
      </c>
      <c r="H136" s="9" t="n">
        <v>21.71</v>
      </c>
      <c r="I136" s="9" t="n">
        <v>44.66</v>
      </c>
      <c r="J136" s="10" t="n">
        <v>0</v>
      </c>
    </row>
    <row r="137" customFormat="false" ht="15" hidden="false" customHeight="false" outlineLevel="0" collapsed="false">
      <c r="A137" s="11" t="s">
        <v>82</v>
      </c>
      <c r="B137" s="11" t="s">
        <v>83</v>
      </c>
      <c r="C137" s="11" t="s">
        <v>46</v>
      </c>
      <c r="D137" s="11" t="s">
        <v>72</v>
      </c>
      <c r="E137" s="11" t="s">
        <v>73</v>
      </c>
      <c r="F137" s="11" t="s">
        <v>47</v>
      </c>
      <c r="G137" s="11" t="n">
        <v>190</v>
      </c>
      <c r="H137" s="12" t="n">
        <v>28.29</v>
      </c>
      <c r="I137" s="12" t="n">
        <v>59.37</v>
      </c>
      <c r="J137" s="13" t="n">
        <v>0.05</v>
      </c>
    </row>
    <row r="138" customFormat="false" ht="15" hidden="false" customHeight="false" outlineLevel="0" collapsed="false">
      <c r="A138" s="8" t="s">
        <v>302</v>
      </c>
      <c r="B138" s="8" t="s">
        <v>223</v>
      </c>
      <c r="C138" s="8" t="s">
        <v>55</v>
      </c>
      <c r="D138" s="8" t="s">
        <v>72</v>
      </c>
      <c r="E138" s="8" t="s">
        <v>73</v>
      </c>
      <c r="F138" s="8" t="s">
        <v>47</v>
      </c>
      <c r="G138" s="8" t="n">
        <v>247</v>
      </c>
      <c r="H138" s="9" t="n">
        <v>28.44</v>
      </c>
      <c r="I138" s="9" t="n">
        <v>60.54</v>
      </c>
      <c r="J138" s="10" t="n">
        <v>0.15</v>
      </c>
    </row>
    <row r="139" customFormat="false" ht="15" hidden="false" customHeight="false" outlineLevel="0" collapsed="false">
      <c r="A139" s="11" t="s">
        <v>303</v>
      </c>
      <c r="B139" s="11" t="s">
        <v>263</v>
      </c>
      <c r="C139" s="11" t="s">
        <v>40</v>
      </c>
      <c r="D139" s="11" t="s">
        <v>56</v>
      </c>
      <c r="E139" s="11" t="s">
        <v>52</v>
      </c>
      <c r="F139" s="11" t="s">
        <v>69</v>
      </c>
      <c r="G139" s="11" t="n">
        <v>187</v>
      </c>
      <c r="H139" s="12" t="n">
        <v>49.21</v>
      </c>
      <c r="I139" s="12" t="n">
        <v>84.53</v>
      </c>
      <c r="J139" s="13" t="n">
        <v>0.05</v>
      </c>
    </row>
    <row r="140" customFormat="false" ht="15" hidden="false" customHeight="false" outlineLevel="0" collapsed="false">
      <c r="A140" s="8" t="s">
        <v>304</v>
      </c>
      <c r="B140" s="8" t="s">
        <v>305</v>
      </c>
      <c r="C140" s="8" t="s">
        <v>61</v>
      </c>
      <c r="D140" s="8" t="s">
        <v>72</v>
      </c>
      <c r="E140" s="8" t="s">
        <v>73</v>
      </c>
      <c r="F140" s="8" t="s">
        <v>69</v>
      </c>
      <c r="G140" s="8" t="n">
        <v>253</v>
      </c>
      <c r="H140" s="9" t="n">
        <v>28.65</v>
      </c>
      <c r="I140" s="9" t="n">
        <v>58.59</v>
      </c>
      <c r="J140" s="10" t="n">
        <v>0.15</v>
      </c>
    </row>
    <row r="141" customFormat="false" ht="15" hidden="false" customHeight="false" outlineLevel="0" collapsed="false">
      <c r="A141" s="11" t="s">
        <v>306</v>
      </c>
      <c r="B141" s="11" t="s">
        <v>215</v>
      </c>
      <c r="C141" s="11" t="s">
        <v>46</v>
      </c>
      <c r="D141" s="11" t="s">
        <v>56</v>
      </c>
      <c r="E141" s="11" t="s">
        <v>52</v>
      </c>
      <c r="F141" s="11" t="s">
        <v>69</v>
      </c>
      <c r="G141" s="11" t="n">
        <v>288</v>
      </c>
      <c r="H141" s="12" t="n">
        <v>51.32</v>
      </c>
      <c r="I141" s="12" t="n">
        <v>84.18</v>
      </c>
      <c r="J141" s="13" t="n">
        <v>0.15</v>
      </c>
    </row>
    <row r="142" customFormat="false" ht="15" hidden="false" customHeight="false" outlineLevel="0" collapsed="false">
      <c r="A142" s="8" t="s">
        <v>307</v>
      </c>
      <c r="B142" s="8" t="s">
        <v>308</v>
      </c>
      <c r="C142" s="8" t="s">
        <v>61</v>
      </c>
      <c r="D142" s="8" t="s">
        <v>51</v>
      </c>
      <c r="E142" s="8" t="s">
        <v>52</v>
      </c>
      <c r="F142" s="8" t="s">
        <v>47</v>
      </c>
      <c r="G142" s="8" t="n">
        <v>160</v>
      </c>
      <c r="H142" s="9" t="n">
        <v>71.09</v>
      </c>
      <c r="I142" s="9" t="n">
        <v>121.5</v>
      </c>
      <c r="J142" s="10" t="n">
        <v>0</v>
      </c>
    </row>
    <row r="143" customFormat="false" ht="15" hidden="false" customHeight="false" outlineLevel="0" collapsed="false">
      <c r="A143" s="11" t="s">
        <v>309</v>
      </c>
      <c r="B143" s="11" t="s">
        <v>310</v>
      </c>
      <c r="C143" s="11" t="s">
        <v>61</v>
      </c>
      <c r="D143" s="11" t="s">
        <v>114</v>
      </c>
      <c r="E143" s="11" t="s">
        <v>73</v>
      </c>
      <c r="F143" s="11" t="s">
        <v>47</v>
      </c>
      <c r="G143" s="11" t="n">
        <v>237</v>
      </c>
      <c r="H143" s="12" t="n">
        <v>13.96</v>
      </c>
      <c r="I143" s="12" t="n">
        <v>29.15</v>
      </c>
      <c r="J143" s="13" t="n">
        <v>0</v>
      </c>
    </row>
    <row r="144" customFormat="false" ht="15" hidden="false" customHeight="false" outlineLevel="0" collapsed="false">
      <c r="A144" s="8" t="s">
        <v>311</v>
      </c>
      <c r="B144" s="8" t="s">
        <v>75</v>
      </c>
      <c r="C144" s="8" t="s">
        <v>55</v>
      </c>
      <c r="D144" s="8" t="s">
        <v>72</v>
      </c>
      <c r="E144" s="8" t="s">
        <v>73</v>
      </c>
      <c r="F144" s="8" t="s">
        <v>69</v>
      </c>
      <c r="G144" s="8" t="n">
        <v>179</v>
      </c>
      <c r="H144" s="9" t="n">
        <v>28.44</v>
      </c>
      <c r="I144" s="9" t="n">
        <v>58.29</v>
      </c>
      <c r="J144" s="10" t="n">
        <v>0</v>
      </c>
    </row>
    <row r="145" customFormat="false" ht="15" hidden="false" customHeight="false" outlineLevel="0" collapsed="false">
      <c r="A145" s="11" t="s">
        <v>312</v>
      </c>
      <c r="B145" s="11" t="s">
        <v>313</v>
      </c>
      <c r="C145" s="11" t="s">
        <v>61</v>
      </c>
      <c r="D145" s="11" t="s">
        <v>41</v>
      </c>
      <c r="E145" s="11" t="s">
        <v>42</v>
      </c>
      <c r="F145" s="11" t="s">
        <v>47</v>
      </c>
      <c r="G145" s="11" t="n">
        <v>221</v>
      </c>
      <c r="H145" s="12" t="n">
        <v>21.62</v>
      </c>
      <c r="I145" s="12" t="n">
        <v>43.44</v>
      </c>
      <c r="J145" s="13" t="n">
        <v>0.1</v>
      </c>
    </row>
    <row r="146" customFormat="false" ht="15" hidden="false" customHeight="false" outlineLevel="0" collapsed="false">
      <c r="A146" s="8" t="s">
        <v>314</v>
      </c>
      <c r="B146" s="8" t="s">
        <v>315</v>
      </c>
      <c r="C146" s="8" t="s">
        <v>61</v>
      </c>
      <c r="D146" s="8" t="s">
        <v>51</v>
      </c>
      <c r="E146" s="8" t="s">
        <v>52</v>
      </c>
      <c r="F146" s="8" t="s">
        <v>69</v>
      </c>
      <c r="G146" s="8" t="n">
        <v>144</v>
      </c>
      <c r="H146" s="9" t="n">
        <v>71.31</v>
      </c>
      <c r="I146" s="9" t="n">
        <v>115.82</v>
      </c>
      <c r="J146" s="10" t="n">
        <v>0.05</v>
      </c>
    </row>
    <row r="147" customFormat="false" ht="15" hidden="false" customHeight="false" outlineLevel="0" collapsed="false">
      <c r="A147" s="11" t="s">
        <v>316</v>
      </c>
      <c r="B147" s="11" t="s">
        <v>131</v>
      </c>
      <c r="C147" s="11" t="s">
        <v>46</v>
      </c>
      <c r="D147" s="11" t="s">
        <v>114</v>
      </c>
      <c r="E147" s="11" t="s">
        <v>73</v>
      </c>
      <c r="F147" s="11" t="s">
        <v>43</v>
      </c>
      <c r="G147" s="11" t="n">
        <v>244</v>
      </c>
      <c r="H147" s="12" t="n">
        <v>13.78</v>
      </c>
      <c r="I147" s="12" t="n">
        <v>30.99</v>
      </c>
      <c r="J147" s="13" t="n">
        <v>0.05</v>
      </c>
    </row>
    <row r="148" customFormat="false" ht="15" hidden="false" customHeight="false" outlineLevel="0" collapsed="false">
      <c r="A148" s="8" t="s">
        <v>317</v>
      </c>
      <c r="B148" s="8" t="s">
        <v>125</v>
      </c>
      <c r="C148" s="8" t="s">
        <v>55</v>
      </c>
      <c r="D148" s="8" t="s">
        <v>51</v>
      </c>
      <c r="E148" s="8" t="s">
        <v>52</v>
      </c>
      <c r="F148" s="8" t="s">
        <v>69</v>
      </c>
      <c r="G148" s="8" t="n">
        <v>285</v>
      </c>
      <c r="H148" s="9" t="n">
        <v>71.45</v>
      </c>
      <c r="I148" s="9" t="n">
        <v>115.3</v>
      </c>
      <c r="J148" s="10" t="n">
        <v>0.05</v>
      </c>
    </row>
    <row r="149" customFormat="false" ht="15" hidden="false" customHeight="false" outlineLevel="0" collapsed="false">
      <c r="A149" s="11" t="s">
        <v>318</v>
      </c>
      <c r="B149" s="11" t="s">
        <v>196</v>
      </c>
      <c r="C149" s="11" t="s">
        <v>46</v>
      </c>
      <c r="D149" s="11" t="s">
        <v>51</v>
      </c>
      <c r="E149" s="11" t="s">
        <v>52</v>
      </c>
      <c r="F149" s="11" t="s">
        <v>47</v>
      </c>
      <c r="G149" s="11" t="n">
        <v>271</v>
      </c>
      <c r="H149" s="12" t="n">
        <v>68.98</v>
      </c>
      <c r="I149" s="12" t="n">
        <v>123.97</v>
      </c>
      <c r="J149" s="13" t="n">
        <v>0.1</v>
      </c>
    </row>
    <row r="150" customFormat="false" ht="15" hidden="false" customHeight="false" outlineLevel="0" collapsed="false">
      <c r="A150" s="8" t="s">
        <v>319</v>
      </c>
      <c r="B150" s="8" t="s">
        <v>320</v>
      </c>
      <c r="C150" s="8" t="s">
        <v>61</v>
      </c>
      <c r="D150" s="8" t="s">
        <v>41</v>
      </c>
      <c r="E150" s="8" t="s">
        <v>42</v>
      </c>
      <c r="F150" s="8" t="s">
        <v>43</v>
      </c>
      <c r="G150" s="8" t="n">
        <v>191</v>
      </c>
      <c r="H150" s="9" t="n">
        <v>22.22</v>
      </c>
      <c r="I150" s="9" t="n">
        <v>43.82</v>
      </c>
      <c r="J150" s="10" t="n">
        <v>0</v>
      </c>
    </row>
    <row r="151" customFormat="false" ht="15" hidden="false" customHeight="false" outlineLevel="0" collapsed="false">
      <c r="A151" s="11" t="s">
        <v>321</v>
      </c>
      <c r="B151" s="11" t="s">
        <v>322</v>
      </c>
      <c r="C151" s="11" t="s">
        <v>46</v>
      </c>
      <c r="D151" s="11" t="s">
        <v>114</v>
      </c>
      <c r="E151" s="11" t="s">
        <v>73</v>
      </c>
      <c r="F151" s="11" t="s">
        <v>43</v>
      </c>
      <c r="G151" s="11" t="n">
        <v>211</v>
      </c>
      <c r="H151" s="12" t="n">
        <v>13.82</v>
      </c>
      <c r="I151" s="12" t="n">
        <v>30.55</v>
      </c>
      <c r="J151" s="13" t="n">
        <v>0</v>
      </c>
    </row>
    <row r="152" customFormat="false" ht="15" hidden="false" customHeight="false" outlineLevel="0" collapsed="false">
      <c r="A152" s="8" t="s">
        <v>323</v>
      </c>
      <c r="B152" s="8" t="s">
        <v>324</v>
      </c>
      <c r="C152" s="8" t="s">
        <v>40</v>
      </c>
      <c r="D152" s="8" t="s">
        <v>56</v>
      </c>
      <c r="E152" s="8" t="s">
        <v>52</v>
      </c>
      <c r="F152" s="8" t="s">
        <v>47</v>
      </c>
      <c r="G152" s="8" t="n">
        <v>175</v>
      </c>
      <c r="H152" s="9" t="n">
        <v>49.16</v>
      </c>
      <c r="I152" s="9" t="n">
        <v>85.88</v>
      </c>
      <c r="J152" s="10" t="n">
        <v>0</v>
      </c>
    </row>
    <row r="153" customFormat="false" ht="15" hidden="false" customHeight="false" outlineLevel="0" collapsed="false">
      <c r="A153" s="11" t="s">
        <v>325</v>
      </c>
      <c r="B153" s="11" t="s">
        <v>326</v>
      </c>
      <c r="C153" s="11" t="s">
        <v>55</v>
      </c>
      <c r="D153" s="11" t="s">
        <v>114</v>
      </c>
      <c r="E153" s="11" t="s">
        <v>73</v>
      </c>
      <c r="F153" s="11" t="s">
        <v>43</v>
      </c>
      <c r="G153" s="11" t="n">
        <v>179</v>
      </c>
      <c r="H153" s="12" t="n">
        <v>14.14</v>
      </c>
      <c r="I153" s="12" t="n">
        <v>31.5</v>
      </c>
      <c r="J153" s="13" t="n">
        <v>0.05</v>
      </c>
    </row>
    <row r="154" customFormat="false" ht="15" hidden="false" customHeight="false" outlineLevel="0" collapsed="false">
      <c r="A154" s="8" t="s">
        <v>327</v>
      </c>
      <c r="B154" s="8" t="s">
        <v>328</v>
      </c>
      <c r="C154" s="8" t="s">
        <v>40</v>
      </c>
      <c r="D154" s="8" t="s">
        <v>51</v>
      </c>
      <c r="E154" s="8" t="s">
        <v>52</v>
      </c>
      <c r="F154" s="8" t="s">
        <v>43</v>
      </c>
      <c r="G154" s="8" t="n">
        <v>170</v>
      </c>
      <c r="H154" s="9" t="n">
        <v>69.88</v>
      </c>
      <c r="I154" s="9" t="n">
        <v>119.79</v>
      </c>
      <c r="J154" s="10" t="n">
        <v>0.1</v>
      </c>
    </row>
    <row r="155" customFormat="false" ht="15" hidden="false" customHeight="false" outlineLevel="0" collapsed="false">
      <c r="A155" s="11" t="s">
        <v>329</v>
      </c>
      <c r="B155" s="11" t="s">
        <v>178</v>
      </c>
      <c r="C155" s="11" t="s">
        <v>330</v>
      </c>
      <c r="D155" s="11" t="s">
        <v>72</v>
      </c>
      <c r="E155" s="11" t="s">
        <v>73</v>
      </c>
      <c r="F155" s="11" t="s">
        <v>47</v>
      </c>
      <c r="G155" s="11" t="n">
        <v>294</v>
      </c>
      <c r="H155" s="12" t="n">
        <v>28.15</v>
      </c>
      <c r="I155" s="12" t="n">
        <v>60.24</v>
      </c>
      <c r="J155" s="13" t="n">
        <v>0</v>
      </c>
    </row>
    <row r="156" customFormat="false" ht="15" hidden="false" customHeight="false" outlineLevel="0" collapsed="false">
      <c r="A156" s="8" t="s">
        <v>331</v>
      </c>
      <c r="B156" s="8" t="s">
        <v>213</v>
      </c>
      <c r="C156" s="8" t="s">
        <v>55</v>
      </c>
      <c r="D156" s="8" t="s">
        <v>41</v>
      </c>
      <c r="E156" s="8" t="s">
        <v>42</v>
      </c>
      <c r="F156" s="8" t="s">
        <v>69</v>
      </c>
      <c r="G156" s="8" t="n">
        <v>352</v>
      </c>
      <c r="H156" s="9" t="n">
        <v>21.37</v>
      </c>
      <c r="I156" s="9" t="n">
        <v>45.64</v>
      </c>
      <c r="J156" s="10" t="n">
        <v>0.05</v>
      </c>
    </row>
    <row r="157" customFormat="false" ht="15" hidden="false" customHeight="false" outlineLevel="0" collapsed="false">
      <c r="A157" s="11" t="s">
        <v>332</v>
      </c>
      <c r="B157" s="11" t="s">
        <v>333</v>
      </c>
      <c r="C157" s="11" t="s">
        <v>61</v>
      </c>
      <c r="D157" s="11" t="s">
        <v>114</v>
      </c>
      <c r="E157" s="11" t="s">
        <v>73</v>
      </c>
      <c r="F157" s="11" t="s">
        <v>47</v>
      </c>
      <c r="G157" s="11" t="n">
        <v>169</v>
      </c>
      <c r="H157" s="12" t="n">
        <v>14.32</v>
      </c>
      <c r="I157" s="12" t="n">
        <v>30.67</v>
      </c>
      <c r="J157" s="13" t="n">
        <v>0.15</v>
      </c>
    </row>
    <row r="158" customFormat="false" ht="15" hidden="false" customHeight="false" outlineLevel="0" collapsed="false">
      <c r="A158" s="8" t="s">
        <v>334</v>
      </c>
      <c r="B158" s="8" t="s">
        <v>335</v>
      </c>
      <c r="C158" s="8" t="s">
        <v>55</v>
      </c>
      <c r="D158" s="8" t="s">
        <v>51</v>
      </c>
      <c r="E158" s="8" t="s">
        <v>52</v>
      </c>
      <c r="F158" s="8" t="s">
        <v>47</v>
      </c>
      <c r="G158" s="8" t="n">
        <v>227</v>
      </c>
      <c r="H158" s="9" t="n">
        <v>68.79</v>
      </c>
      <c r="I158" s="9" t="n">
        <v>118.55</v>
      </c>
      <c r="J158" s="10" t="n">
        <v>0.05</v>
      </c>
    </row>
    <row r="159" customFormat="false" ht="15" hidden="false" customHeight="false" outlineLevel="0" collapsed="false">
      <c r="A159" s="11" t="s">
        <v>336</v>
      </c>
      <c r="B159" s="11" t="s">
        <v>337</v>
      </c>
      <c r="C159" s="11" t="s">
        <v>61</v>
      </c>
      <c r="D159" s="11" t="s">
        <v>41</v>
      </c>
      <c r="E159" s="11" t="s">
        <v>42</v>
      </c>
      <c r="F159" s="11" t="s">
        <v>43</v>
      </c>
      <c r="G159" s="11" t="n">
        <v>307</v>
      </c>
      <c r="H159" s="12" t="n">
        <v>21.51</v>
      </c>
      <c r="I159" s="12" t="n">
        <v>44.69</v>
      </c>
      <c r="J159" s="13" t="n">
        <v>0.15</v>
      </c>
    </row>
    <row r="160" customFormat="false" ht="15" hidden="false" customHeight="false" outlineLevel="0" collapsed="false">
      <c r="A160" s="8" t="s">
        <v>202</v>
      </c>
      <c r="B160" s="8" t="s">
        <v>203</v>
      </c>
      <c r="C160" s="8" t="s">
        <v>46</v>
      </c>
      <c r="D160" s="8" t="s">
        <v>72</v>
      </c>
      <c r="E160" s="8" t="s">
        <v>73</v>
      </c>
      <c r="F160" s="8" t="s">
        <v>43</v>
      </c>
      <c r="G160" s="8" t="n">
        <v>161</v>
      </c>
      <c r="H160" s="9" t="n">
        <v>27.6</v>
      </c>
      <c r="I160" s="9" t="n">
        <v>59.85</v>
      </c>
      <c r="J160" s="10" t="n">
        <v>0</v>
      </c>
    </row>
    <row r="161" customFormat="false" ht="15" hidden="false" customHeight="false" outlineLevel="0" collapsed="false">
      <c r="A161" s="11" t="s">
        <v>338</v>
      </c>
      <c r="B161" s="11" t="s">
        <v>153</v>
      </c>
      <c r="C161" s="11" t="s">
        <v>40</v>
      </c>
      <c r="D161" s="11" t="s">
        <v>56</v>
      </c>
      <c r="E161" s="11" t="s">
        <v>52</v>
      </c>
      <c r="F161" s="11" t="s">
        <v>69</v>
      </c>
      <c r="G161" s="11" t="n">
        <v>178</v>
      </c>
      <c r="H161" s="12" t="n">
        <v>49.52</v>
      </c>
      <c r="I161" s="12" t="n">
        <v>84.17</v>
      </c>
      <c r="J161" s="13" t="n">
        <v>0</v>
      </c>
    </row>
    <row r="162" customFormat="false" ht="15" hidden="false" customHeight="false" outlineLevel="0" collapsed="false">
      <c r="A162" s="8" t="s">
        <v>339</v>
      </c>
      <c r="B162" s="8" t="s">
        <v>278</v>
      </c>
      <c r="C162" s="8" t="s">
        <v>46</v>
      </c>
      <c r="D162" s="8" t="s">
        <v>72</v>
      </c>
      <c r="E162" s="8" t="s">
        <v>73</v>
      </c>
      <c r="F162" s="8" t="s">
        <v>69</v>
      </c>
      <c r="G162" s="8" t="n">
        <v>255</v>
      </c>
      <c r="H162" s="9" t="n">
        <v>27.94</v>
      </c>
      <c r="I162" s="9" t="n">
        <v>62.22</v>
      </c>
      <c r="J162" s="10" t="n">
        <v>0</v>
      </c>
    </row>
    <row r="163" customFormat="false" ht="15" hidden="false" customHeight="false" outlineLevel="0" collapsed="false">
      <c r="A163" s="11" t="s">
        <v>340</v>
      </c>
      <c r="B163" s="11" t="s">
        <v>341</v>
      </c>
      <c r="C163" s="11" t="s">
        <v>55</v>
      </c>
      <c r="D163" s="11" t="s">
        <v>51</v>
      </c>
      <c r="E163" s="11" t="s">
        <v>52</v>
      </c>
      <c r="F163" s="11" t="s">
        <v>69</v>
      </c>
      <c r="G163" s="11" t="n">
        <v>295</v>
      </c>
      <c r="H163" s="12" t="n">
        <v>71.13</v>
      </c>
      <c r="I163" s="12" t="n">
        <v>123.01</v>
      </c>
      <c r="J163" s="13" t="n">
        <v>0.05</v>
      </c>
    </row>
    <row r="164" customFormat="false" ht="15" hidden="false" customHeight="false" outlineLevel="0" collapsed="false">
      <c r="A164" s="8" t="s">
        <v>342</v>
      </c>
      <c r="B164" s="8" t="s">
        <v>343</v>
      </c>
      <c r="C164" s="8" t="s">
        <v>61</v>
      </c>
      <c r="D164" s="8" t="s">
        <v>51</v>
      </c>
      <c r="E164" s="8" t="s">
        <v>52</v>
      </c>
      <c r="F164" s="8" t="s">
        <v>47</v>
      </c>
      <c r="G164" s="8" t="n">
        <v>181</v>
      </c>
      <c r="H164" s="9" t="n">
        <v>71.24</v>
      </c>
      <c r="I164" s="9" t="n">
        <v>114.55</v>
      </c>
      <c r="J164" s="10" t="n">
        <v>0.05</v>
      </c>
    </row>
    <row r="165" customFormat="false" ht="15" hidden="false" customHeight="false" outlineLevel="0" collapsed="false">
      <c r="A165" s="11" t="s">
        <v>344</v>
      </c>
      <c r="B165" s="11" t="s">
        <v>345</v>
      </c>
      <c r="C165" s="11" t="s">
        <v>55</v>
      </c>
      <c r="D165" s="11" t="s">
        <v>51</v>
      </c>
      <c r="E165" s="11" t="s">
        <v>52</v>
      </c>
      <c r="F165" s="11" t="s">
        <v>69</v>
      </c>
      <c r="G165" s="11" t="n">
        <v>204</v>
      </c>
      <c r="H165" s="12" t="n">
        <v>68.76</v>
      </c>
      <c r="I165" s="12" t="n">
        <v>123.44</v>
      </c>
      <c r="J165" s="13" t="n">
        <v>0.15</v>
      </c>
    </row>
    <row r="166" customFormat="false" ht="15" hidden="false" customHeight="false" outlineLevel="0" collapsed="false">
      <c r="A166" s="8" t="s">
        <v>346</v>
      </c>
      <c r="B166" s="8" t="s">
        <v>164</v>
      </c>
      <c r="C166" s="8" t="s">
        <v>40</v>
      </c>
      <c r="D166" s="8" t="s">
        <v>72</v>
      </c>
      <c r="E166" s="8" t="s">
        <v>73</v>
      </c>
      <c r="F166" s="8" t="s">
        <v>43</v>
      </c>
      <c r="G166" s="8" t="n">
        <v>243</v>
      </c>
      <c r="H166" s="9" t="n">
        <v>28.02</v>
      </c>
      <c r="I166" s="9" t="n">
        <v>58.01</v>
      </c>
      <c r="J166" s="10" t="n">
        <v>0</v>
      </c>
    </row>
    <row r="167" customFormat="false" ht="15" hidden="false" customHeight="false" outlineLevel="0" collapsed="false">
      <c r="A167" s="11" t="s">
        <v>347</v>
      </c>
      <c r="B167" s="11" t="s">
        <v>348</v>
      </c>
      <c r="C167" s="11" t="s">
        <v>55</v>
      </c>
      <c r="D167" s="11" t="s">
        <v>72</v>
      </c>
      <c r="E167" s="11" t="s">
        <v>73</v>
      </c>
      <c r="F167" s="11" t="s">
        <v>47</v>
      </c>
      <c r="G167" s="11" t="n">
        <v>314</v>
      </c>
      <c r="H167" s="12" t="n">
        <v>28.72</v>
      </c>
      <c r="I167" s="12" t="n">
        <v>58.99</v>
      </c>
      <c r="J167" s="13" t="n">
        <v>0</v>
      </c>
    </row>
    <row r="168" customFormat="false" ht="15" hidden="false" customHeight="false" outlineLevel="0" collapsed="false">
      <c r="A168" s="8" t="s">
        <v>349</v>
      </c>
      <c r="B168" s="8" t="s">
        <v>350</v>
      </c>
      <c r="C168" s="8" t="s">
        <v>40</v>
      </c>
      <c r="D168" s="8" t="s">
        <v>72</v>
      </c>
      <c r="E168" s="8" t="s">
        <v>73</v>
      </c>
      <c r="F168" s="8" t="s">
        <v>43</v>
      </c>
      <c r="G168" s="8" t="n">
        <v>258</v>
      </c>
      <c r="H168" s="9" t="n">
        <v>28.31</v>
      </c>
      <c r="I168" s="9" t="n">
        <v>60.4</v>
      </c>
      <c r="J168" s="10" t="n">
        <v>0</v>
      </c>
    </row>
    <row r="169" customFormat="false" ht="15" hidden="false" customHeight="false" outlineLevel="0" collapsed="false">
      <c r="A169" s="11" t="s">
        <v>351</v>
      </c>
      <c r="B169" s="11" t="s">
        <v>352</v>
      </c>
      <c r="C169" s="11" t="s">
        <v>40</v>
      </c>
      <c r="D169" s="11" t="s">
        <v>56</v>
      </c>
      <c r="E169" s="11" t="s">
        <v>52</v>
      </c>
      <c r="F169" s="11" t="s">
        <v>43</v>
      </c>
      <c r="G169" s="11" t="n">
        <v>237</v>
      </c>
      <c r="H169" s="12" t="n">
        <v>50.72</v>
      </c>
      <c r="I169" s="12" t="n">
        <v>81.57</v>
      </c>
      <c r="J169" s="13" t="n">
        <v>0</v>
      </c>
    </row>
    <row r="170" customFormat="false" ht="15" hidden="false" customHeight="false" outlineLevel="0" collapsed="false">
      <c r="A170" s="8" t="s">
        <v>353</v>
      </c>
      <c r="B170" s="8" t="s">
        <v>354</v>
      </c>
      <c r="C170" s="8" t="s">
        <v>55</v>
      </c>
      <c r="D170" s="8" t="s">
        <v>41</v>
      </c>
      <c r="E170" s="8" t="s">
        <v>42</v>
      </c>
      <c r="F170" s="8" t="s">
        <v>43</v>
      </c>
      <c r="G170" s="8" t="n">
        <v>249</v>
      </c>
      <c r="H170" s="9" t="n">
        <v>21.64</v>
      </c>
      <c r="I170" s="9" t="n">
        <v>42.87</v>
      </c>
      <c r="J170" s="10" t="n">
        <v>0.15</v>
      </c>
    </row>
    <row r="171" customFormat="false" ht="15" hidden="false" customHeight="false" outlineLevel="0" collapsed="false">
      <c r="A171" s="11" t="s">
        <v>355</v>
      </c>
      <c r="B171" s="11" t="s">
        <v>79</v>
      </c>
      <c r="C171" s="11" t="s">
        <v>55</v>
      </c>
      <c r="D171" s="11" t="s">
        <v>72</v>
      </c>
      <c r="E171" s="11" t="s">
        <v>73</v>
      </c>
      <c r="F171" s="11" t="s">
        <v>69</v>
      </c>
      <c r="G171" s="11" t="n">
        <v>173</v>
      </c>
      <c r="H171" s="12" t="n">
        <v>27.77</v>
      </c>
      <c r="I171" s="12" t="n">
        <v>57.67</v>
      </c>
      <c r="J171" s="13" t="n">
        <v>0.05</v>
      </c>
    </row>
    <row r="172" customFormat="false" ht="15" hidden="false" customHeight="false" outlineLevel="0" collapsed="false">
      <c r="A172" s="8" t="s">
        <v>356</v>
      </c>
      <c r="B172" s="8" t="s">
        <v>39</v>
      </c>
      <c r="C172" s="8" t="s">
        <v>55</v>
      </c>
      <c r="D172" s="8" t="s">
        <v>72</v>
      </c>
      <c r="E172" s="8" t="s">
        <v>73</v>
      </c>
      <c r="F172" s="8" t="s">
        <v>69</v>
      </c>
      <c r="G172" s="8" t="n">
        <v>195</v>
      </c>
      <c r="H172" s="9" t="n">
        <v>28.65</v>
      </c>
      <c r="I172" s="9" t="n">
        <v>62.16</v>
      </c>
      <c r="J172" s="10" t="n">
        <v>0.1</v>
      </c>
    </row>
    <row r="173" customFormat="false" ht="15" hidden="false" customHeight="false" outlineLevel="0" collapsed="false">
      <c r="A173" s="11" t="s">
        <v>357</v>
      </c>
      <c r="B173" s="11" t="s">
        <v>358</v>
      </c>
      <c r="C173" s="11" t="s">
        <v>40</v>
      </c>
      <c r="D173" s="11" t="s">
        <v>56</v>
      </c>
      <c r="E173" s="11" t="s">
        <v>52</v>
      </c>
      <c r="F173" s="11" t="s">
        <v>69</v>
      </c>
      <c r="G173" s="11" t="n">
        <v>101</v>
      </c>
      <c r="H173" s="12" t="n">
        <v>50.25</v>
      </c>
      <c r="I173" s="12" t="n">
        <v>84.39</v>
      </c>
      <c r="J173" s="13" t="n">
        <v>0.05</v>
      </c>
    </row>
    <row r="174" customFormat="false" ht="15" hidden="false" customHeight="false" outlineLevel="0" collapsed="false">
      <c r="A174" s="8" t="s">
        <v>359</v>
      </c>
      <c r="B174" s="8" t="s">
        <v>360</v>
      </c>
      <c r="C174" s="8" t="s">
        <v>46</v>
      </c>
      <c r="D174" s="8" t="s">
        <v>51</v>
      </c>
      <c r="E174" s="8" t="s">
        <v>52</v>
      </c>
      <c r="F174" s="8" t="s">
        <v>69</v>
      </c>
      <c r="G174" s="8" t="n">
        <v>123</v>
      </c>
      <c r="H174" s="9" t="n">
        <v>70.82</v>
      </c>
      <c r="I174" s="9" t="n">
        <v>123.65</v>
      </c>
      <c r="J174" s="10" t="n">
        <v>0.1</v>
      </c>
    </row>
    <row r="175" customFormat="false" ht="15" hidden="false" customHeight="false" outlineLevel="0" collapsed="false">
      <c r="A175" s="11" t="s">
        <v>361</v>
      </c>
      <c r="B175" s="11" t="s">
        <v>176</v>
      </c>
      <c r="C175" s="11" t="s">
        <v>61</v>
      </c>
      <c r="D175" s="11" t="s">
        <v>41</v>
      </c>
      <c r="E175" s="11" t="s">
        <v>42</v>
      </c>
      <c r="F175" s="11" t="s">
        <v>69</v>
      </c>
      <c r="G175" s="11" t="n">
        <v>233</v>
      </c>
      <c r="H175" s="12" t="n">
        <v>22.65</v>
      </c>
      <c r="I175" s="12" t="n">
        <v>42.92</v>
      </c>
      <c r="J175" s="13" t="n">
        <v>0</v>
      </c>
    </row>
    <row r="176" customFormat="false" ht="15" hidden="false" customHeight="false" outlineLevel="0" collapsed="false">
      <c r="A176" s="8" t="s">
        <v>362</v>
      </c>
      <c r="B176" s="8" t="s">
        <v>363</v>
      </c>
      <c r="C176" s="8" t="s">
        <v>61</v>
      </c>
      <c r="D176" s="8" t="s">
        <v>56</v>
      </c>
      <c r="E176" s="8" t="s">
        <v>52</v>
      </c>
      <c r="F176" s="8" t="s">
        <v>47</v>
      </c>
      <c r="G176" s="8" t="n">
        <v>243</v>
      </c>
      <c r="H176" s="9" t="n">
        <v>50.8</v>
      </c>
      <c r="I176" s="9" t="n">
        <v>88.79</v>
      </c>
      <c r="J176" s="10" t="n">
        <v>0.05</v>
      </c>
    </row>
    <row r="177" customFormat="false" ht="15" hidden="false" customHeight="false" outlineLevel="0" collapsed="false">
      <c r="A177" s="11" t="s">
        <v>364</v>
      </c>
      <c r="B177" s="11" t="s">
        <v>365</v>
      </c>
      <c r="C177" s="11" t="s">
        <v>61</v>
      </c>
      <c r="D177" s="11" t="s">
        <v>114</v>
      </c>
      <c r="E177" s="11" t="s">
        <v>73</v>
      </c>
      <c r="F177" s="11" t="s">
        <v>47</v>
      </c>
      <c r="G177" s="11" t="n">
        <v>264</v>
      </c>
      <c r="H177" s="12" t="n">
        <v>14.26</v>
      </c>
      <c r="I177" s="12" t="n">
        <v>30.97</v>
      </c>
      <c r="J177" s="13" t="n">
        <v>0.1</v>
      </c>
    </row>
    <row r="178" customFormat="false" ht="15" hidden="false" customHeight="false" outlineLevel="0" collapsed="false">
      <c r="A178" s="8" t="s">
        <v>366</v>
      </c>
      <c r="B178" s="8" t="s">
        <v>367</v>
      </c>
      <c r="C178" s="8" t="s">
        <v>61</v>
      </c>
      <c r="D178" s="8" t="s">
        <v>114</v>
      </c>
      <c r="E178" s="8" t="s">
        <v>73</v>
      </c>
      <c r="F178" s="8" t="s">
        <v>47</v>
      </c>
      <c r="G178" s="8" t="n">
        <v>201</v>
      </c>
      <c r="H178" s="9" t="n">
        <v>13.77</v>
      </c>
      <c r="I178" s="9" t="n">
        <v>29.72</v>
      </c>
      <c r="J178" s="10" t="n">
        <v>0</v>
      </c>
    </row>
    <row r="179" customFormat="false" ht="15" hidden="false" customHeight="false" outlineLevel="0" collapsed="false">
      <c r="A179" s="11" t="s">
        <v>368</v>
      </c>
      <c r="B179" s="11" t="s">
        <v>369</v>
      </c>
      <c r="C179" s="11" t="s">
        <v>61</v>
      </c>
      <c r="D179" s="11" t="s">
        <v>114</v>
      </c>
      <c r="E179" s="11" t="s">
        <v>73</v>
      </c>
      <c r="F179" s="11" t="s">
        <v>47</v>
      </c>
      <c r="G179" s="11" t="n">
        <v>188</v>
      </c>
      <c r="H179" s="12" t="n">
        <v>14.07</v>
      </c>
      <c r="I179" s="12" t="n">
        <v>29.99</v>
      </c>
      <c r="J179" s="13" t="n">
        <v>0</v>
      </c>
    </row>
    <row r="180" customFormat="false" ht="15" hidden="false" customHeight="false" outlineLevel="0" collapsed="false">
      <c r="A180" s="8" t="s">
        <v>370</v>
      </c>
      <c r="B180" s="8" t="s">
        <v>371</v>
      </c>
      <c r="C180" s="8" t="s">
        <v>46</v>
      </c>
      <c r="D180" s="8" t="s">
        <v>56</v>
      </c>
      <c r="E180" s="8" t="s">
        <v>52</v>
      </c>
      <c r="F180" s="8" t="s">
        <v>43</v>
      </c>
      <c r="G180" s="8" t="n">
        <v>217</v>
      </c>
      <c r="H180" s="9" t="n">
        <v>50.9</v>
      </c>
      <c r="I180" s="9" t="n">
        <v>84.63</v>
      </c>
      <c r="J180" s="10" t="n">
        <v>0.15</v>
      </c>
    </row>
    <row r="181" customFormat="false" ht="15" hidden="false" customHeight="false" outlineLevel="0" collapsed="false">
      <c r="A181" s="11" t="s">
        <v>372</v>
      </c>
      <c r="B181" s="11" t="s">
        <v>373</v>
      </c>
      <c r="C181" s="11" t="s">
        <v>55</v>
      </c>
      <c r="D181" s="11" t="s">
        <v>72</v>
      </c>
      <c r="E181" s="11" t="s">
        <v>73</v>
      </c>
      <c r="F181" s="11" t="s">
        <v>43</v>
      </c>
      <c r="G181" s="11" t="n">
        <v>247</v>
      </c>
      <c r="H181" s="12" t="n">
        <v>27.37</v>
      </c>
      <c r="I181" s="12" t="n">
        <v>57.91</v>
      </c>
      <c r="J181" s="13" t="n">
        <v>0</v>
      </c>
    </row>
    <row r="182" customFormat="false" ht="15" hidden="false" customHeight="false" outlineLevel="0" collapsed="false">
      <c r="A182" s="8" t="s">
        <v>374</v>
      </c>
      <c r="B182" s="8" t="s">
        <v>255</v>
      </c>
      <c r="C182" s="8" t="s">
        <v>40</v>
      </c>
      <c r="D182" s="8" t="s">
        <v>72</v>
      </c>
      <c r="E182" s="8" t="s">
        <v>73</v>
      </c>
      <c r="F182" s="8" t="s">
        <v>69</v>
      </c>
      <c r="G182" s="8" t="n">
        <v>101</v>
      </c>
      <c r="H182" s="9" t="n">
        <v>27.3</v>
      </c>
      <c r="I182" s="9" t="n">
        <v>60.98</v>
      </c>
      <c r="J182" s="10" t="n">
        <v>0.1</v>
      </c>
    </row>
    <row r="183" customFormat="false" ht="15" hidden="false" customHeight="false" outlineLevel="0" collapsed="false">
      <c r="A183" s="11" t="s">
        <v>375</v>
      </c>
      <c r="B183" s="11" t="s">
        <v>376</v>
      </c>
      <c r="C183" s="11" t="s">
        <v>61</v>
      </c>
      <c r="D183" s="11" t="s">
        <v>41</v>
      </c>
      <c r="E183" s="11" t="s">
        <v>42</v>
      </c>
      <c r="F183" s="11" t="s">
        <v>47</v>
      </c>
      <c r="G183" s="11" t="n">
        <v>190</v>
      </c>
      <c r="H183" s="12" t="n">
        <v>22.05</v>
      </c>
      <c r="I183" s="12" t="n">
        <v>46.92</v>
      </c>
      <c r="J183" s="13" t="n">
        <v>0</v>
      </c>
    </row>
    <row r="184" customFormat="false" ht="15" hidden="false" customHeight="false" outlineLevel="0" collapsed="false">
      <c r="A184" s="8" t="s">
        <v>377</v>
      </c>
      <c r="B184" s="8" t="s">
        <v>360</v>
      </c>
      <c r="C184" s="8" t="s">
        <v>40</v>
      </c>
      <c r="D184" s="8" t="s">
        <v>51</v>
      </c>
      <c r="E184" s="8" t="s">
        <v>52</v>
      </c>
      <c r="F184" s="8" t="s">
        <v>47</v>
      </c>
      <c r="G184" s="8" t="n">
        <v>146</v>
      </c>
      <c r="H184" s="9" t="n">
        <v>69.38</v>
      </c>
      <c r="I184" s="9" t="n">
        <v>114.07</v>
      </c>
      <c r="J184" s="10" t="n">
        <v>0.1</v>
      </c>
    </row>
    <row r="185" customFormat="false" ht="15" hidden="false" customHeight="false" outlineLevel="0" collapsed="false">
      <c r="A185" s="11" t="s">
        <v>378</v>
      </c>
      <c r="B185" s="11" t="s">
        <v>379</v>
      </c>
      <c r="C185" s="11" t="s">
        <v>61</v>
      </c>
      <c r="D185" s="11" t="s">
        <v>114</v>
      </c>
      <c r="E185" s="11" t="s">
        <v>73</v>
      </c>
      <c r="F185" s="11" t="s">
        <v>47</v>
      </c>
      <c r="G185" s="11" t="n">
        <v>231</v>
      </c>
      <c r="H185" s="12" t="n">
        <v>13.93</v>
      </c>
      <c r="I185" s="12" t="n">
        <v>30.13</v>
      </c>
      <c r="J185" s="13" t="n">
        <v>0</v>
      </c>
    </row>
    <row r="186" customFormat="false" ht="15" hidden="false" customHeight="false" outlineLevel="0" collapsed="false">
      <c r="A186" s="8" t="s">
        <v>380</v>
      </c>
      <c r="B186" s="8" t="s">
        <v>381</v>
      </c>
      <c r="C186" s="8" t="s">
        <v>55</v>
      </c>
      <c r="D186" s="8" t="s">
        <v>51</v>
      </c>
      <c r="E186" s="8" t="s">
        <v>52</v>
      </c>
      <c r="F186" s="8" t="s">
        <v>69</v>
      </c>
      <c r="G186" s="8" t="n">
        <v>243</v>
      </c>
      <c r="H186" s="9" t="n">
        <v>68.8</v>
      </c>
      <c r="I186" s="9" t="n">
        <v>119.83</v>
      </c>
      <c r="J186" s="10" t="n">
        <v>0.1</v>
      </c>
    </row>
    <row r="187" customFormat="false" ht="15" hidden="false" customHeight="false" outlineLevel="0" collapsed="false">
      <c r="A187" s="11" t="s">
        <v>382</v>
      </c>
      <c r="B187" s="11" t="s">
        <v>383</v>
      </c>
      <c r="C187" s="11" t="s">
        <v>40</v>
      </c>
      <c r="D187" s="11" t="s">
        <v>56</v>
      </c>
      <c r="E187" s="11" t="s">
        <v>52</v>
      </c>
      <c r="F187" s="11" t="s">
        <v>47</v>
      </c>
      <c r="G187" s="11" t="n">
        <v>118</v>
      </c>
      <c r="H187" s="12" t="n">
        <v>51.14</v>
      </c>
      <c r="I187" s="12" t="n">
        <v>85.07</v>
      </c>
      <c r="J187" s="13" t="n">
        <v>0</v>
      </c>
    </row>
    <row r="188" customFormat="false" ht="15" hidden="false" customHeight="false" outlineLevel="0" collapsed="false">
      <c r="A188" s="8" t="s">
        <v>384</v>
      </c>
      <c r="B188" s="8" t="s">
        <v>223</v>
      </c>
      <c r="C188" s="8" t="s">
        <v>61</v>
      </c>
      <c r="D188" s="8" t="s">
        <v>114</v>
      </c>
      <c r="E188" s="8" t="s">
        <v>73</v>
      </c>
      <c r="F188" s="8" t="s">
        <v>43</v>
      </c>
      <c r="G188" s="8" t="n">
        <v>153</v>
      </c>
      <c r="H188" s="9" t="n">
        <v>14.1</v>
      </c>
      <c r="I188" s="9" t="n">
        <v>29.42</v>
      </c>
      <c r="J188" s="10" t="n">
        <v>0.15</v>
      </c>
    </row>
    <row r="189" customFormat="false" ht="15" hidden="false" customHeight="false" outlineLevel="0" collapsed="false">
      <c r="A189" s="11" t="s">
        <v>385</v>
      </c>
      <c r="B189" s="11" t="s">
        <v>386</v>
      </c>
      <c r="C189" s="11" t="s">
        <v>61</v>
      </c>
      <c r="D189" s="11" t="s">
        <v>72</v>
      </c>
      <c r="E189" s="11" t="s">
        <v>73</v>
      </c>
      <c r="F189" s="11" t="s">
        <v>69</v>
      </c>
      <c r="G189" s="11" t="n">
        <v>236</v>
      </c>
      <c r="H189" s="12" t="n">
        <v>28.27</v>
      </c>
      <c r="I189" s="12" t="n">
        <v>58.27</v>
      </c>
      <c r="J189" s="13" t="n">
        <v>0</v>
      </c>
    </row>
    <row r="190" customFormat="false" ht="15" hidden="false" customHeight="false" outlineLevel="0" collapsed="false">
      <c r="A190" s="8" t="s">
        <v>387</v>
      </c>
      <c r="B190" s="8" t="s">
        <v>388</v>
      </c>
      <c r="C190" s="8" t="s">
        <v>46</v>
      </c>
      <c r="D190" s="8" t="s">
        <v>41</v>
      </c>
      <c r="E190" s="8" t="s">
        <v>42</v>
      </c>
      <c r="F190" s="8" t="s">
        <v>47</v>
      </c>
      <c r="G190" s="8" t="n">
        <v>173</v>
      </c>
      <c r="H190" s="9" t="n">
        <v>21.86</v>
      </c>
      <c r="I190" s="9" t="n">
        <v>45.78</v>
      </c>
      <c r="J190" s="10" t="n">
        <v>0.15</v>
      </c>
    </row>
    <row r="191" customFormat="false" ht="15" hidden="false" customHeight="false" outlineLevel="0" collapsed="false">
      <c r="A191" s="11" t="s">
        <v>389</v>
      </c>
      <c r="B191" s="11" t="s">
        <v>310</v>
      </c>
      <c r="C191" s="11" t="s">
        <v>46</v>
      </c>
      <c r="D191" s="11" t="s">
        <v>72</v>
      </c>
      <c r="E191" s="11" t="s">
        <v>73</v>
      </c>
      <c r="F191" s="11" t="s">
        <v>69</v>
      </c>
      <c r="G191" s="11" t="n">
        <v>267</v>
      </c>
      <c r="H191" s="12" t="n">
        <v>28.69</v>
      </c>
      <c r="I191" s="12" t="n">
        <v>59.94</v>
      </c>
      <c r="J191" s="13" t="n">
        <v>0</v>
      </c>
    </row>
    <row r="192" customFormat="false" ht="15" hidden="false" customHeight="false" outlineLevel="0" collapsed="false">
      <c r="A192" s="8" t="s">
        <v>390</v>
      </c>
      <c r="B192" s="8" t="s">
        <v>391</v>
      </c>
      <c r="C192" s="8" t="s">
        <v>55</v>
      </c>
      <c r="D192" s="8" t="s">
        <v>56</v>
      </c>
      <c r="E192" s="8" t="s">
        <v>52</v>
      </c>
      <c r="F192" s="8" t="s">
        <v>43</v>
      </c>
      <c r="G192" s="8" t="n">
        <v>271</v>
      </c>
      <c r="H192" s="9" t="n">
        <v>50.36</v>
      </c>
      <c r="I192" s="9" t="n">
        <v>86.16</v>
      </c>
      <c r="J192" s="10" t="n">
        <v>0</v>
      </c>
    </row>
    <row r="193" customFormat="false" ht="15" hidden="false" customHeight="false" outlineLevel="0" collapsed="false">
      <c r="A193" s="11" t="s">
        <v>392</v>
      </c>
      <c r="B193" s="11" t="s">
        <v>376</v>
      </c>
      <c r="C193" s="11" t="s">
        <v>55</v>
      </c>
      <c r="D193" s="11" t="s">
        <v>114</v>
      </c>
      <c r="E193" s="11" t="s">
        <v>73</v>
      </c>
      <c r="F193" s="11" t="s">
        <v>69</v>
      </c>
      <c r="G193" s="11" t="n">
        <v>255</v>
      </c>
      <c r="H193" s="12" t="n">
        <v>14.36</v>
      </c>
      <c r="I193" s="12" t="n">
        <v>28.96</v>
      </c>
      <c r="J193" s="13" t="n">
        <v>0</v>
      </c>
    </row>
    <row r="194" customFormat="false" ht="15" hidden="false" customHeight="false" outlineLevel="0" collapsed="false">
      <c r="A194" s="8" t="s">
        <v>393</v>
      </c>
      <c r="B194" s="8" t="s">
        <v>310</v>
      </c>
      <c r="C194" s="8" t="s">
        <v>61</v>
      </c>
      <c r="D194" s="8" t="s">
        <v>51</v>
      </c>
      <c r="E194" s="8" t="s">
        <v>52</v>
      </c>
      <c r="F194" s="8" t="s">
        <v>43</v>
      </c>
      <c r="G194" s="8" t="n">
        <v>236</v>
      </c>
      <c r="H194" s="9" t="n">
        <v>70.56</v>
      </c>
      <c r="I194" s="9" t="n">
        <v>117.3</v>
      </c>
      <c r="J194" s="10" t="n">
        <v>0.15</v>
      </c>
    </row>
    <row r="195" customFormat="false" ht="15" hidden="false" customHeight="false" outlineLevel="0" collapsed="false">
      <c r="A195" s="11" t="s">
        <v>394</v>
      </c>
      <c r="B195" s="11" t="s">
        <v>210</v>
      </c>
      <c r="C195" s="11" t="s">
        <v>55</v>
      </c>
      <c r="D195" s="11" t="s">
        <v>72</v>
      </c>
      <c r="E195" s="11" t="s">
        <v>73</v>
      </c>
      <c r="F195" s="11" t="s">
        <v>69</v>
      </c>
      <c r="G195" s="11"/>
      <c r="H195" s="12" t="n">
        <v>27.96</v>
      </c>
      <c r="I195" s="12" t="n">
        <v>57.3</v>
      </c>
      <c r="J195" s="13" t="n">
        <v>0.15</v>
      </c>
    </row>
    <row r="196" customFormat="false" ht="15" hidden="false" customHeight="false" outlineLevel="0" collapsed="false">
      <c r="A196" s="8" t="s">
        <v>395</v>
      </c>
      <c r="B196" s="8" t="s">
        <v>396</v>
      </c>
      <c r="C196" s="8" t="s">
        <v>55</v>
      </c>
      <c r="D196" s="8" t="s">
        <v>114</v>
      </c>
      <c r="E196" s="8" t="s">
        <v>73</v>
      </c>
      <c r="F196" s="8" t="s">
        <v>47</v>
      </c>
      <c r="G196" s="8" t="n">
        <v>225</v>
      </c>
      <c r="H196" s="9" t="n">
        <v>14.22</v>
      </c>
      <c r="I196" s="9" t="n">
        <v>29.32</v>
      </c>
      <c r="J196" s="10" t="n">
        <v>0.05</v>
      </c>
    </row>
    <row r="197" customFormat="false" ht="15" hidden="false" customHeight="false" outlineLevel="0" collapsed="false">
      <c r="A197" s="11" t="s">
        <v>397</v>
      </c>
      <c r="B197" s="11" t="s">
        <v>194</v>
      </c>
      <c r="C197" s="11" t="s">
        <v>40</v>
      </c>
      <c r="D197" s="11" t="s">
        <v>41</v>
      </c>
      <c r="E197" s="11" t="s">
        <v>42</v>
      </c>
      <c r="F197" s="11" t="s">
        <v>43</v>
      </c>
      <c r="G197" s="11" t="n">
        <v>207</v>
      </c>
      <c r="H197" s="12" t="n">
        <v>22.08</v>
      </c>
      <c r="I197" s="12" t="n">
        <v>45.39</v>
      </c>
      <c r="J197" s="13" t="n">
        <v>0.05</v>
      </c>
    </row>
    <row r="198" customFormat="false" ht="15" hidden="false" customHeight="false" outlineLevel="0" collapsed="false">
      <c r="A198" s="8" t="s">
        <v>398</v>
      </c>
      <c r="B198" s="8" t="s">
        <v>296</v>
      </c>
      <c r="C198" s="8" t="s">
        <v>55</v>
      </c>
      <c r="D198" s="8" t="s">
        <v>56</v>
      </c>
      <c r="E198" s="8" t="s">
        <v>52</v>
      </c>
      <c r="F198" s="8" t="s">
        <v>43</v>
      </c>
      <c r="G198" s="8" t="n">
        <v>286</v>
      </c>
      <c r="H198" s="9" t="n">
        <v>49.86</v>
      </c>
      <c r="I198" s="9" t="n">
        <v>84.45</v>
      </c>
      <c r="J198" s="10" t="n">
        <v>0.05</v>
      </c>
    </row>
    <row r="199" customFormat="false" ht="15" hidden="false" customHeight="false" outlineLevel="0" collapsed="false">
      <c r="A199" s="11" t="s">
        <v>399</v>
      </c>
      <c r="B199" s="11" t="s">
        <v>196</v>
      </c>
      <c r="C199" s="11" t="s">
        <v>55</v>
      </c>
      <c r="D199" s="11" t="s">
        <v>41</v>
      </c>
      <c r="E199" s="11" t="s">
        <v>42</v>
      </c>
      <c r="F199" s="11" t="s">
        <v>47</v>
      </c>
      <c r="G199" s="11" t="n">
        <v>339</v>
      </c>
      <c r="H199" s="12" t="n">
        <v>21.92</v>
      </c>
      <c r="I199" s="12" t="n">
        <v>44.14</v>
      </c>
      <c r="J199" s="13" t="n">
        <v>0.15</v>
      </c>
    </row>
    <row r="200" customFormat="false" ht="15" hidden="false" customHeight="false" outlineLevel="0" collapsed="false">
      <c r="A200" s="8" t="s">
        <v>400</v>
      </c>
      <c r="B200" s="8" t="s">
        <v>401</v>
      </c>
      <c r="C200" s="8" t="s">
        <v>46</v>
      </c>
      <c r="D200" s="8" t="s">
        <v>41</v>
      </c>
      <c r="E200" s="8" t="s">
        <v>42</v>
      </c>
      <c r="F200" s="8" t="s">
        <v>43</v>
      </c>
      <c r="G200" s="8" t="n">
        <v>311</v>
      </c>
      <c r="H200" s="9" t="n">
        <v>22.34</v>
      </c>
      <c r="I200" s="9" t="n">
        <v>44.18</v>
      </c>
      <c r="J200" s="10" t="n">
        <v>0.1</v>
      </c>
    </row>
    <row r="201" customFormat="false" ht="15" hidden="false" customHeight="false" outlineLevel="0" collapsed="false">
      <c r="A201" s="11" t="s">
        <v>402</v>
      </c>
      <c r="B201" s="11" t="s">
        <v>403</v>
      </c>
      <c r="C201" s="11" t="s">
        <v>46</v>
      </c>
      <c r="D201" s="11" t="s">
        <v>56</v>
      </c>
      <c r="E201" s="11" t="s">
        <v>52</v>
      </c>
      <c r="F201" s="11" t="s">
        <v>43</v>
      </c>
      <c r="G201" s="11"/>
      <c r="H201" s="12" t="n">
        <v>50.8</v>
      </c>
      <c r="I201" s="12" t="n">
        <v>87.22</v>
      </c>
      <c r="J201" s="13" t="n">
        <v>0</v>
      </c>
    </row>
    <row r="202" customFormat="false" ht="15" hidden="false" customHeight="false" outlineLevel="0" collapsed="false">
      <c r="A202" s="8" t="s">
        <v>389</v>
      </c>
      <c r="B202" s="8" t="s">
        <v>310</v>
      </c>
      <c r="C202" s="8" t="s">
        <v>46</v>
      </c>
      <c r="D202" s="8" t="s">
        <v>72</v>
      </c>
      <c r="E202" s="8" t="s">
        <v>73</v>
      </c>
      <c r="F202" s="8" t="s">
        <v>69</v>
      </c>
      <c r="G202" s="8" t="n">
        <v>267</v>
      </c>
      <c r="H202" s="9" t="n">
        <v>28.69</v>
      </c>
      <c r="I202" s="9" t="n">
        <v>59.94</v>
      </c>
      <c r="J202" s="10" t="n">
        <v>0</v>
      </c>
    </row>
    <row r="203" customFormat="false" ht="15" hidden="false" customHeight="false" outlineLevel="0" collapsed="false">
      <c r="A203" s="11" t="s">
        <v>404</v>
      </c>
      <c r="B203" s="11" t="s">
        <v>405</v>
      </c>
      <c r="C203" s="11" t="s">
        <v>40</v>
      </c>
      <c r="D203" s="11" t="s">
        <v>51</v>
      </c>
      <c r="E203" s="11" t="s">
        <v>52</v>
      </c>
      <c r="F203" s="11" t="s">
        <v>43</v>
      </c>
      <c r="G203" s="11" t="n">
        <v>238</v>
      </c>
      <c r="H203" s="12" t="n">
        <v>69.01</v>
      </c>
      <c r="I203" s="12" t="n">
        <v>119.51</v>
      </c>
      <c r="J203" s="13" t="n">
        <v>0</v>
      </c>
    </row>
    <row r="204" customFormat="false" ht="15" hidden="false" customHeight="false" outlineLevel="0" collapsed="false">
      <c r="A204" s="8" t="s">
        <v>406</v>
      </c>
      <c r="B204" s="8" t="s">
        <v>79</v>
      </c>
      <c r="C204" s="8" t="s">
        <v>40</v>
      </c>
      <c r="D204" s="8" t="s">
        <v>114</v>
      </c>
      <c r="E204" s="8" t="s">
        <v>73</v>
      </c>
      <c r="F204" s="8" t="s">
        <v>69</v>
      </c>
      <c r="G204" s="8" t="n">
        <v>90</v>
      </c>
      <c r="H204" s="9" t="n">
        <v>14.26</v>
      </c>
      <c r="I204" s="9" t="n">
        <v>28.73</v>
      </c>
      <c r="J204" s="10" t="n">
        <v>0.15</v>
      </c>
    </row>
    <row r="205" customFormat="false" ht="15" hidden="false" customHeight="false" outlineLevel="0" collapsed="false">
      <c r="A205" s="11" t="s">
        <v>407</v>
      </c>
      <c r="B205" s="11" t="s">
        <v>198</v>
      </c>
      <c r="C205" s="11" t="s">
        <v>46</v>
      </c>
      <c r="D205" s="11" t="s">
        <v>114</v>
      </c>
      <c r="E205" s="11" t="s">
        <v>73</v>
      </c>
      <c r="F205" s="11" t="s">
        <v>47</v>
      </c>
      <c r="G205" s="11" t="n">
        <v>270</v>
      </c>
      <c r="H205" s="12" t="n">
        <v>13.87</v>
      </c>
      <c r="I205" s="12" t="n">
        <v>29.94</v>
      </c>
      <c r="J205" s="13" t="n">
        <v>0</v>
      </c>
    </row>
    <row r="206" customFormat="false" ht="15" hidden="false" customHeight="false" outlineLevel="0" collapsed="false">
      <c r="A206" s="8" t="s">
        <v>408</v>
      </c>
      <c r="B206" s="8" t="s">
        <v>409</v>
      </c>
      <c r="C206" s="8" t="s">
        <v>55</v>
      </c>
      <c r="D206" s="8" t="s">
        <v>56</v>
      </c>
      <c r="E206" s="8" t="s">
        <v>52</v>
      </c>
      <c r="F206" s="8" t="s">
        <v>47</v>
      </c>
      <c r="G206" s="8" t="n">
        <v>304</v>
      </c>
      <c r="H206" s="9" t="n">
        <v>49.78</v>
      </c>
      <c r="I206" s="9" t="n">
        <v>85.26</v>
      </c>
      <c r="J206" s="10" t="n">
        <v>0.15</v>
      </c>
    </row>
    <row r="207" customFormat="false" ht="15" hidden="false" customHeight="false" outlineLevel="0" collapsed="false">
      <c r="A207" s="11" t="s">
        <v>410</v>
      </c>
      <c r="B207" s="11" t="s">
        <v>411</v>
      </c>
      <c r="C207" s="11" t="s">
        <v>412</v>
      </c>
      <c r="D207" s="11" t="s">
        <v>72</v>
      </c>
      <c r="E207" s="11" t="s">
        <v>73</v>
      </c>
      <c r="F207" s="11" t="s">
        <v>47</v>
      </c>
      <c r="G207" s="11" t="n">
        <v>195</v>
      </c>
      <c r="H207" s="12" t="n">
        <v>27.65</v>
      </c>
      <c r="I207" s="12" t="n">
        <v>62.6</v>
      </c>
      <c r="J207" s="13" t="n">
        <v>0.05</v>
      </c>
    </row>
    <row r="208" customFormat="false" ht="15" hidden="false" customHeight="false" outlineLevel="0" collapsed="false">
      <c r="A208" s="8" t="s">
        <v>413</v>
      </c>
      <c r="B208" s="8" t="s">
        <v>414</v>
      </c>
      <c r="C208" s="8" t="s">
        <v>55</v>
      </c>
      <c r="D208" s="8" t="s">
        <v>41</v>
      </c>
      <c r="E208" s="8" t="s">
        <v>42</v>
      </c>
      <c r="F208" s="8" t="s">
        <v>69</v>
      </c>
      <c r="G208" s="8" t="n">
        <v>310</v>
      </c>
      <c r="H208" s="9" t="n">
        <v>21.94</v>
      </c>
      <c r="I208" s="9" t="n">
        <v>46.21</v>
      </c>
      <c r="J208" s="10" t="n">
        <v>0.15</v>
      </c>
    </row>
    <row r="209" customFormat="false" ht="15" hidden="false" customHeight="false" outlineLevel="0" collapsed="false">
      <c r="A209" s="11" t="s">
        <v>415</v>
      </c>
      <c r="B209" s="11" t="s">
        <v>305</v>
      </c>
      <c r="C209" s="11" t="s">
        <v>46</v>
      </c>
      <c r="D209" s="11" t="s">
        <v>114</v>
      </c>
      <c r="E209" s="11" t="s">
        <v>73</v>
      </c>
      <c r="F209" s="11" t="s">
        <v>69</v>
      </c>
      <c r="G209" s="11" t="n">
        <v>169</v>
      </c>
      <c r="H209" s="12" t="n">
        <v>14.14</v>
      </c>
      <c r="I209" s="12" t="n">
        <v>29.28</v>
      </c>
      <c r="J209" s="13" t="n">
        <v>0.05</v>
      </c>
    </row>
    <row r="210" customFormat="false" ht="15" hidden="false" customHeight="false" outlineLevel="0" collapsed="false">
      <c r="A210" s="8" t="s">
        <v>416</v>
      </c>
      <c r="B210" s="8" t="s">
        <v>417</v>
      </c>
      <c r="C210" s="8" t="s">
        <v>46</v>
      </c>
      <c r="D210" s="8" t="s">
        <v>56</v>
      </c>
      <c r="E210" s="8" t="s">
        <v>52</v>
      </c>
      <c r="F210" s="8" t="s">
        <v>47</v>
      </c>
      <c r="G210" s="8" t="n">
        <v>201</v>
      </c>
      <c r="H210" s="9" t="n">
        <v>49.49</v>
      </c>
      <c r="I210" s="9" t="n">
        <v>81.43</v>
      </c>
      <c r="J210" s="10" t="n">
        <v>0.15</v>
      </c>
    </row>
    <row r="211" customFormat="false" ht="15" hidden="false" customHeight="false" outlineLevel="0" collapsed="false">
      <c r="A211" s="11" t="s">
        <v>418</v>
      </c>
      <c r="B211" s="11" t="s">
        <v>419</v>
      </c>
      <c r="C211" s="11" t="s">
        <v>46</v>
      </c>
      <c r="D211" s="11" t="s">
        <v>56</v>
      </c>
      <c r="E211" s="11" t="s">
        <v>52</v>
      </c>
      <c r="F211" s="11" t="s">
        <v>43</v>
      </c>
      <c r="G211" s="11" t="n">
        <v>195</v>
      </c>
      <c r="H211" s="12" t="n">
        <v>48.98</v>
      </c>
      <c r="I211" s="12" t="n">
        <v>81.64</v>
      </c>
      <c r="J211" s="13" t="n">
        <v>0.1</v>
      </c>
    </row>
    <row r="212" customFormat="false" ht="15" hidden="false" customHeight="false" outlineLevel="0" collapsed="false">
      <c r="A212" s="8" t="s">
        <v>420</v>
      </c>
      <c r="B212" s="8" t="s">
        <v>265</v>
      </c>
      <c r="C212" s="8" t="s">
        <v>46</v>
      </c>
      <c r="D212" s="8" t="s">
        <v>41</v>
      </c>
      <c r="E212" s="8" t="s">
        <v>42</v>
      </c>
      <c r="F212" s="8" t="s">
        <v>47</v>
      </c>
      <c r="G212" s="8" t="n">
        <v>206</v>
      </c>
      <c r="H212" s="9" t="n">
        <v>22.48</v>
      </c>
      <c r="I212" s="9" t="n">
        <v>46.27</v>
      </c>
      <c r="J212" s="10" t="n">
        <v>0.15</v>
      </c>
    </row>
    <row r="213" customFormat="false" ht="15" hidden="false" customHeight="false" outlineLevel="0" collapsed="false">
      <c r="A213" s="11" t="s">
        <v>421</v>
      </c>
      <c r="B213" s="11" t="s">
        <v>422</v>
      </c>
      <c r="C213" s="11" t="s">
        <v>61</v>
      </c>
      <c r="D213" s="11" t="s">
        <v>51</v>
      </c>
      <c r="E213" s="11" t="s">
        <v>52</v>
      </c>
      <c r="F213" s="11" t="s">
        <v>69</v>
      </c>
      <c r="G213" s="11" t="n">
        <v>249</v>
      </c>
      <c r="H213" s="12" t="n">
        <v>70.42</v>
      </c>
      <c r="I213" s="12" t="n">
        <v>118.74</v>
      </c>
      <c r="J213" s="13" t="n">
        <v>0</v>
      </c>
    </row>
    <row r="214" customFormat="false" ht="15" hidden="false" customHeight="false" outlineLevel="0" collapsed="false">
      <c r="A214" s="8" t="s">
        <v>423</v>
      </c>
      <c r="B214" s="8" t="s">
        <v>424</v>
      </c>
      <c r="C214" s="8" t="s">
        <v>61</v>
      </c>
      <c r="D214" s="8" t="s">
        <v>51</v>
      </c>
      <c r="E214" s="8" t="s">
        <v>52</v>
      </c>
      <c r="F214" s="8" t="s">
        <v>43</v>
      </c>
      <c r="G214" s="8" t="n">
        <v>140</v>
      </c>
      <c r="H214" s="9" t="n">
        <v>70.77</v>
      </c>
      <c r="I214" s="9" t="n">
        <v>122.42</v>
      </c>
      <c r="J214" s="10" t="n">
        <v>0</v>
      </c>
    </row>
    <row r="215" customFormat="false" ht="15" hidden="false" customHeight="false" outlineLevel="0" collapsed="false">
      <c r="A215" s="11" t="s">
        <v>425</v>
      </c>
      <c r="B215" s="11" t="s">
        <v>176</v>
      </c>
      <c r="C215" s="11" t="s">
        <v>46</v>
      </c>
      <c r="D215" s="11" t="s">
        <v>72</v>
      </c>
      <c r="E215" s="11" t="s">
        <v>73</v>
      </c>
      <c r="F215" s="11" t="s">
        <v>43</v>
      </c>
      <c r="G215" s="11" t="n">
        <v>236</v>
      </c>
      <c r="H215" s="12" t="n">
        <v>28.74</v>
      </c>
      <c r="I215" s="12" t="n">
        <v>61.93</v>
      </c>
      <c r="J215" s="13" t="n">
        <v>0</v>
      </c>
    </row>
    <row r="216" customFormat="false" ht="15" hidden="false" customHeight="false" outlineLevel="0" collapsed="false">
      <c r="A216" s="8" t="s">
        <v>426</v>
      </c>
      <c r="B216" s="8" t="s">
        <v>96</v>
      </c>
      <c r="C216" s="8" t="s">
        <v>55</v>
      </c>
      <c r="D216" s="8" t="s">
        <v>41</v>
      </c>
      <c r="E216" s="8" t="s">
        <v>42</v>
      </c>
      <c r="F216" s="8" t="s">
        <v>43</v>
      </c>
      <c r="G216" s="8" t="n">
        <v>310</v>
      </c>
      <c r="H216" s="9" t="n">
        <v>21.53</v>
      </c>
      <c r="I216" s="9" t="n">
        <v>46.61</v>
      </c>
      <c r="J216" s="10" t="n">
        <v>0</v>
      </c>
    </row>
    <row r="217" customFormat="false" ht="15" hidden="false" customHeight="false" outlineLevel="0" collapsed="false">
      <c r="A217" s="11" t="s">
        <v>427</v>
      </c>
      <c r="B217" s="11" t="s">
        <v>428</v>
      </c>
      <c r="C217" s="11" t="s">
        <v>55</v>
      </c>
      <c r="D217" s="11" t="s">
        <v>56</v>
      </c>
      <c r="E217" s="11" t="s">
        <v>52</v>
      </c>
      <c r="F217" s="11" t="s">
        <v>69</v>
      </c>
      <c r="G217" s="11" t="n">
        <v>236</v>
      </c>
      <c r="H217" s="12" t="n">
        <v>49.81</v>
      </c>
      <c r="I217" s="12" t="n">
        <v>85.34</v>
      </c>
      <c r="J217" s="13" t="n">
        <v>0.15</v>
      </c>
    </row>
    <row r="218" customFormat="false" ht="15" hidden="false" customHeight="false" outlineLevel="0" collapsed="false">
      <c r="A218" s="8" t="s">
        <v>429</v>
      </c>
      <c r="B218" s="8" t="s">
        <v>430</v>
      </c>
      <c r="C218" s="8" t="s">
        <v>46</v>
      </c>
      <c r="D218" s="8" t="s">
        <v>114</v>
      </c>
      <c r="E218" s="8" t="s">
        <v>73</v>
      </c>
      <c r="F218" s="8" t="s">
        <v>69</v>
      </c>
      <c r="G218" s="8" t="n">
        <v>268</v>
      </c>
      <c r="H218" s="9" t="n">
        <v>14.23</v>
      </c>
      <c r="I218" s="9" t="n">
        <v>28.85</v>
      </c>
      <c r="J218" s="10" t="n">
        <v>0.15</v>
      </c>
    </row>
    <row r="219" customFormat="false" ht="15" hidden="false" customHeight="false" outlineLevel="0" collapsed="false">
      <c r="A219" s="11" t="s">
        <v>362</v>
      </c>
      <c r="B219" s="11" t="s">
        <v>363</v>
      </c>
      <c r="C219" s="11" t="s">
        <v>61</v>
      </c>
      <c r="D219" s="11" t="s">
        <v>56</v>
      </c>
      <c r="E219" s="11" t="s">
        <v>52</v>
      </c>
      <c r="F219" s="11" t="s">
        <v>47</v>
      </c>
      <c r="G219" s="11" t="n">
        <v>243</v>
      </c>
      <c r="H219" s="12" t="n">
        <v>50.8</v>
      </c>
      <c r="I219" s="12" t="n">
        <v>88.79</v>
      </c>
      <c r="J219" s="13" t="n">
        <v>0.05</v>
      </c>
    </row>
    <row r="220" customFormat="false" ht="15" hidden="false" customHeight="false" outlineLevel="0" collapsed="false">
      <c r="A220" s="8" t="s">
        <v>431</v>
      </c>
      <c r="B220" s="8" t="s">
        <v>432</v>
      </c>
      <c r="C220" s="8" t="s">
        <v>40</v>
      </c>
      <c r="D220" s="8" t="s">
        <v>114</v>
      </c>
      <c r="E220" s="8" t="s">
        <v>73</v>
      </c>
      <c r="F220" s="8" t="s">
        <v>43</v>
      </c>
      <c r="G220" s="8" t="n">
        <v>223</v>
      </c>
      <c r="H220" s="9" t="n">
        <v>14.03</v>
      </c>
      <c r="I220" s="9" t="n">
        <v>31.44</v>
      </c>
      <c r="J220" s="10" t="n">
        <v>0.1</v>
      </c>
    </row>
    <row r="221" customFormat="false" ht="15" hidden="false" customHeight="false" outlineLevel="0" collapsed="false">
      <c r="A221" s="11" t="s">
        <v>433</v>
      </c>
      <c r="B221" s="11" t="s">
        <v>434</v>
      </c>
      <c r="C221" s="11" t="s">
        <v>61</v>
      </c>
      <c r="D221" s="11" t="s">
        <v>72</v>
      </c>
      <c r="E221" s="11" t="s">
        <v>73</v>
      </c>
      <c r="F221" s="11" t="s">
        <v>43</v>
      </c>
      <c r="G221" s="11" t="n">
        <v>269</v>
      </c>
      <c r="H221" s="12" t="n">
        <v>28.71</v>
      </c>
      <c r="I221" s="12" t="n">
        <v>57.11</v>
      </c>
      <c r="J221" s="13" t="n">
        <v>0.05</v>
      </c>
    </row>
    <row r="222" customFormat="false" ht="15" hidden="false" customHeight="false" outlineLevel="0" collapsed="false">
      <c r="A222" s="8" t="s">
        <v>435</v>
      </c>
      <c r="B222" s="8" t="s">
        <v>308</v>
      </c>
      <c r="C222" s="8" t="s">
        <v>61</v>
      </c>
      <c r="D222" s="8" t="s">
        <v>41</v>
      </c>
      <c r="E222" s="8" t="s">
        <v>42</v>
      </c>
      <c r="F222" s="8" t="s">
        <v>69</v>
      </c>
      <c r="G222" s="8" t="n">
        <v>275</v>
      </c>
      <c r="H222" s="9" t="n">
        <v>21.55</v>
      </c>
      <c r="I222" s="9" t="n">
        <v>43.83</v>
      </c>
      <c r="J222" s="10" t="n">
        <v>0.15</v>
      </c>
    </row>
    <row r="223" customFormat="false" ht="15" hidden="false" customHeight="false" outlineLevel="0" collapsed="false">
      <c r="A223" s="11" t="s">
        <v>436</v>
      </c>
      <c r="B223" s="11" t="s">
        <v>411</v>
      </c>
      <c r="C223" s="11" t="s">
        <v>40</v>
      </c>
      <c r="D223" s="11" t="s">
        <v>41</v>
      </c>
      <c r="E223" s="11" t="s">
        <v>42</v>
      </c>
      <c r="F223" s="11" t="s">
        <v>47</v>
      </c>
      <c r="G223" s="11" t="n">
        <v>253</v>
      </c>
      <c r="H223" s="12" t="n">
        <v>21.89</v>
      </c>
      <c r="I223" s="12" t="n">
        <v>46.31</v>
      </c>
      <c r="J223" s="13" t="n">
        <v>0.15</v>
      </c>
    </row>
    <row r="224" customFormat="false" ht="15" hidden="false" customHeight="false" outlineLevel="0" collapsed="false">
      <c r="A224" s="8" t="s">
        <v>437</v>
      </c>
      <c r="B224" s="8" t="s">
        <v>234</v>
      </c>
      <c r="C224" s="8" t="s">
        <v>55</v>
      </c>
      <c r="D224" s="8" t="s">
        <v>114</v>
      </c>
      <c r="E224" s="8" t="s">
        <v>73</v>
      </c>
      <c r="F224" s="8" t="s">
        <v>43</v>
      </c>
      <c r="G224" s="8" t="n">
        <v>316</v>
      </c>
      <c r="H224" s="9" t="n">
        <v>14.22</v>
      </c>
      <c r="I224" s="9" t="n">
        <v>28.96</v>
      </c>
      <c r="J224" s="10" t="n">
        <v>0.15</v>
      </c>
    </row>
    <row r="225" customFormat="false" ht="15" hidden="false" customHeight="false" outlineLevel="0" collapsed="false">
      <c r="A225" s="11" t="s">
        <v>438</v>
      </c>
      <c r="B225" s="11" t="s">
        <v>439</v>
      </c>
      <c r="C225" s="11" t="s">
        <v>40</v>
      </c>
      <c r="D225" s="11" t="s">
        <v>114</v>
      </c>
      <c r="E225" s="11" t="s">
        <v>73</v>
      </c>
      <c r="F225" s="11" t="s">
        <v>47</v>
      </c>
      <c r="G225" s="11" t="n">
        <v>139</v>
      </c>
      <c r="H225" s="12" t="n">
        <v>13.94</v>
      </c>
      <c r="I225" s="12" t="n">
        <v>31.32</v>
      </c>
      <c r="J225" s="13" t="n">
        <v>0</v>
      </c>
    </row>
    <row r="226" customFormat="false" ht="15" hidden="false" customHeight="false" outlineLevel="0" collapsed="false">
      <c r="A226" s="8" t="s">
        <v>440</v>
      </c>
      <c r="B226" s="8" t="s">
        <v>125</v>
      </c>
      <c r="C226" s="8" t="s">
        <v>55</v>
      </c>
      <c r="D226" s="8" t="s">
        <v>56</v>
      </c>
      <c r="E226" s="8" t="s">
        <v>52</v>
      </c>
      <c r="F226" s="8" t="s">
        <v>43</v>
      </c>
      <c r="G226" s="8" t="n">
        <v>271</v>
      </c>
      <c r="H226" s="9" t="n">
        <v>49.18</v>
      </c>
      <c r="I226" s="9" t="n">
        <v>83.12</v>
      </c>
      <c r="J226" s="10" t="n">
        <v>0.1</v>
      </c>
    </row>
    <row r="227" customFormat="false" ht="15" hidden="false" customHeight="false" outlineLevel="0" collapsed="false">
      <c r="A227" s="11" t="s">
        <v>441</v>
      </c>
      <c r="B227" s="11" t="s">
        <v>417</v>
      </c>
      <c r="C227" s="11" t="s">
        <v>46</v>
      </c>
      <c r="D227" s="11" t="s">
        <v>51</v>
      </c>
      <c r="E227" s="11" t="s">
        <v>52</v>
      </c>
      <c r="F227" s="11" t="s">
        <v>47</v>
      </c>
      <c r="G227" s="11"/>
      <c r="H227" s="12" t="n">
        <v>68.55</v>
      </c>
      <c r="I227" s="12" t="n">
        <v>121.86</v>
      </c>
      <c r="J227" s="13" t="n">
        <v>0.1</v>
      </c>
    </row>
    <row r="228" customFormat="false" ht="15" hidden="false" customHeight="false" outlineLevel="0" collapsed="false">
      <c r="A228" s="8" t="s">
        <v>442</v>
      </c>
      <c r="B228" s="8" t="s">
        <v>92</v>
      </c>
      <c r="C228" s="8" t="s">
        <v>297</v>
      </c>
      <c r="D228" s="8" t="s">
        <v>72</v>
      </c>
      <c r="E228" s="8" t="s">
        <v>73</v>
      </c>
      <c r="F228" s="8" t="s">
        <v>43</v>
      </c>
      <c r="G228" s="8" t="n">
        <v>113</v>
      </c>
      <c r="H228" s="9" t="n">
        <v>28.79</v>
      </c>
      <c r="I228" s="9" t="n">
        <v>60.17</v>
      </c>
      <c r="J228" s="10" t="n">
        <v>0</v>
      </c>
    </row>
    <row r="229" customFormat="false" ht="15" hidden="false" customHeight="false" outlineLevel="0" collapsed="false">
      <c r="A229" s="11" t="s">
        <v>443</v>
      </c>
      <c r="B229" s="11" t="s">
        <v>444</v>
      </c>
      <c r="C229" s="11" t="s">
        <v>61</v>
      </c>
      <c r="D229" s="11" t="s">
        <v>114</v>
      </c>
      <c r="E229" s="11" t="s">
        <v>73</v>
      </c>
      <c r="F229" s="11" t="s">
        <v>43</v>
      </c>
      <c r="G229" s="11" t="n">
        <v>189</v>
      </c>
      <c r="H229" s="12" t="n">
        <v>14.14</v>
      </c>
      <c r="I229" s="12" t="n">
        <v>28.71</v>
      </c>
      <c r="J229" s="13" t="n">
        <v>0.05</v>
      </c>
    </row>
    <row r="230" customFormat="false" ht="15" hidden="false" customHeight="false" outlineLevel="0" collapsed="false">
      <c r="A230" s="8" t="s">
        <v>445</v>
      </c>
      <c r="B230" s="8" t="s">
        <v>446</v>
      </c>
      <c r="C230" s="8" t="s">
        <v>61</v>
      </c>
      <c r="D230" s="8" t="s">
        <v>41</v>
      </c>
      <c r="E230" s="8" t="s">
        <v>42</v>
      </c>
      <c r="F230" s="8" t="s">
        <v>43</v>
      </c>
      <c r="G230" s="8" t="n">
        <v>232</v>
      </c>
      <c r="H230" s="9" t="n">
        <v>22.47</v>
      </c>
      <c r="I230" s="9" t="n">
        <v>45.91</v>
      </c>
      <c r="J230" s="10" t="n">
        <v>0.15</v>
      </c>
    </row>
    <row r="231" customFormat="false" ht="15" hidden="false" customHeight="false" outlineLevel="0" collapsed="false">
      <c r="A231" s="11" t="s">
        <v>447</v>
      </c>
      <c r="B231" s="11" t="s">
        <v>448</v>
      </c>
      <c r="C231" s="11" t="s">
        <v>61</v>
      </c>
      <c r="D231" s="11" t="s">
        <v>72</v>
      </c>
      <c r="E231" s="11" t="s">
        <v>73</v>
      </c>
      <c r="F231" s="11" t="s">
        <v>47</v>
      </c>
      <c r="G231" s="11" t="n">
        <v>244</v>
      </c>
      <c r="H231" s="12" t="n">
        <v>28.6</v>
      </c>
      <c r="I231" s="12" t="n">
        <v>61.17</v>
      </c>
      <c r="J231" s="13" t="n">
        <v>0.15</v>
      </c>
    </row>
    <row r="232" customFormat="false" ht="15" hidden="false" customHeight="false" outlineLevel="0" collapsed="false">
      <c r="A232" s="8" t="s">
        <v>449</v>
      </c>
      <c r="B232" s="8" t="s">
        <v>157</v>
      </c>
      <c r="C232" s="8" t="s">
        <v>40</v>
      </c>
      <c r="D232" s="8" t="s">
        <v>56</v>
      </c>
      <c r="E232" s="8" t="s">
        <v>52</v>
      </c>
      <c r="F232" s="8" t="s">
        <v>43</v>
      </c>
      <c r="G232" s="8" t="n">
        <v>120</v>
      </c>
      <c r="H232" s="9" t="n">
        <v>51.34</v>
      </c>
      <c r="I232" s="9" t="n">
        <v>82.21</v>
      </c>
      <c r="J232" s="10" t="n">
        <v>0.1</v>
      </c>
    </row>
    <row r="233" customFormat="false" ht="15" hidden="false" customHeight="false" outlineLevel="0" collapsed="false">
      <c r="A233" s="11" t="s">
        <v>450</v>
      </c>
      <c r="B233" s="11" t="s">
        <v>451</v>
      </c>
      <c r="C233" s="11" t="s">
        <v>46</v>
      </c>
      <c r="D233" s="11" t="s">
        <v>72</v>
      </c>
      <c r="E233" s="11" t="s">
        <v>73</v>
      </c>
      <c r="F233" s="11" t="s">
        <v>69</v>
      </c>
      <c r="G233" s="11" t="n">
        <v>181</v>
      </c>
      <c r="H233" s="12" t="n">
        <v>27.63</v>
      </c>
      <c r="I233" s="12" t="n">
        <v>57.61</v>
      </c>
      <c r="J233" s="13" t="n">
        <v>0.05</v>
      </c>
    </row>
    <row r="234" customFormat="false" ht="15" hidden="false" customHeight="false" outlineLevel="0" collapsed="false">
      <c r="A234" s="8" t="s">
        <v>452</v>
      </c>
      <c r="B234" s="8" t="s">
        <v>453</v>
      </c>
      <c r="C234" s="8" t="s">
        <v>40</v>
      </c>
      <c r="D234" s="8" t="s">
        <v>51</v>
      </c>
      <c r="E234" s="8" t="s">
        <v>52</v>
      </c>
      <c r="F234" s="8" t="s">
        <v>43</v>
      </c>
      <c r="G234" s="8" t="n">
        <v>149</v>
      </c>
      <c r="H234" s="9" t="n">
        <v>69.85</v>
      </c>
      <c r="I234" s="9" t="n">
        <v>116.93</v>
      </c>
      <c r="J234" s="10" t="n">
        <v>0.15</v>
      </c>
    </row>
    <row r="235" customFormat="false" ht="15" hidden="false" customHeight="false" outlineLevel="0" collapsed="false">
      <c r="A235" s="11" t="s">
        <v>454</v>
      </c>
      <c r="B235" s="11" t="s">
        <v>45</v>
      </c>
      <c r="C235" s="11" t="s">
        <v>40</v>
      </c>
      <c r="D235" s="11" t="s">
        <v>114</v>
      </c>
      <c r="E235" s="11" t="s">
        <v>73</v>
      </c>
      <c r="F235" s="11" t="s">
        <v>69</v>
      </c>
      <c r="G235" s="11" t="n">
        <v>154</v>
      </c>
      <c r="H235" s="12" t="n">
        <v>13.92</v>
      </c>
      <c r="I235" s="12" t="n">
        <v>29.22</v>
      </c>
      <c r="J235" s="13" t="n">
        <v>0.15</v>
      </c>
    </row>
    <row r="236" customFormat="false" ht="15" hidden="false" customHeight="false" outlineLevel="0" collapsed="false">
      <c r="A236" s="8" t="s">
        <v>455</v>
      </c>
      <c r="B236" s="8" t="s">
        <v>456</v>
      </c>
      <c r="C236" s="8" t="s">
        <v>40</v>
      </c>
      <c r="D236" s="8" t="s">
        <v>72</v>
      </c>
      <c r="E236" s="8" t="s">
        <v>73</v>
      </c>
      <c r="F236" s="8" t="s">
        <v>43</v>
      </c>
      <c r="G236" s="8" t="n">
        <v>144</v>
      </c>
      <c r="H236" s="9" t="n">
        <v>28.77</v>
      </c>
      <c r="I236" s="9" t="n">
        <v>61.76</v>
      </c>
      <c r="J236" s="10" t="n">
        <v>0</v>
      </c>
    </row>
    <row r="237" customFormat="false" ht="15" hidden="false" customHeight="false" outlineLevel="0" collapsed="false">
      <c r="A237" s="11" t="s">
        <v>457</v>
      </c>
      <c r="B237" s="11" t="s">
        <v>458</v>
      </c>
      <c r="C237" s="11" t="s">
        <v>40</v>
      </c>
      <c r="D237" s="11" t="s">
        <v>114</v>
      </c>
      <c r="E237" s="11" t="s">
        <v>73</v>
      </c>
      <c r="F237" s="11" t="s">
        <v>43</v>
      </c>
      <c r="G237" s="11" t="n">
        <v>114</v>
      </c>
      <c r="H237" s="12" t="n">
        <v>13.63</v>
      </c>
      <c r="I237" s="12" t="n">
        <v>29.77</v>
      </c>
      <c r="J237" s="13" t="n">
        <v>0.1</v>
      </c>
    </row>
    <row r="238" customFormat="false" ht="15" hidden="false" customHeight="false" outlineLevel="0" collapsed="false">
      <c r="A238" s="8" t="s">
        <v>459</v>
      </c>
      <c r="B238" s="8" t="s">
        <v>271</v>
      </c>
      <c r="C238" s="8" t="s">
        <v>46</v>
      </c>
      <c r="D238" s="8" t="s">
        <v>72</v>
      </c>
      <c r="E238" s="8" t="s">
        <v>73</v>
      </c>
      <c r="F238" s="8" t="s">
        <v>47</v>
      </c>
      <c r="G238" s="8" t="n">
        <v>231</v>
      </c>
      <c r="H238" s="9" t="n">
        <v>28.54</v>
      </c>
      <c r="I238" s="9" t="n">
        <v>59.87</v>
      </c>
      <c r="J238" s="10" t="n">
        <v>0.1</v>
      </c>
    </row>
    <row r="239" customFormat="false" ht="15" hidden="false" customHeight="false" outlineLevel="0" collapsed="false">
      <c r="A239" s="11" t="s">
        <v>460</v>
      </c>
      <c r="B239" s="11" t="s">
        <v>155</v>
      </c>
      <c r="C239" s="11" t="s">
        <v>61</v>
      </c>
      <c r="D239" s="11" t="s">
        <v>51</v>
      </c>
      <c r="E239" s="11" t="s">
        <v>52</v>
      </c>
      <c r="F239" s="11" t="s">
        <v>43</v>
      </c>
      <c r="G239" s="11" t="n">
        <v>201</v>
      </c>
      <c r="H239" s="12" t="n">
        <v>69.05</v>
      </c>
      <c r="I239" s="12" t="n">
        <v>121.52</v>
      </c>
      <c r="J239" s="13" t="n">
        <v>0</v>
      </c>
    </row>
    <row r="240" customFormat="false" ht="15" hidden="false" customHeight="false" outlineLevel="0" collapsed="false">
      <c r="A240" s="8" t="s">
        <v>461</v>
      </c>
      <c r="B240" s="8" t="s">
        <v>424</v>
      </c>
      <c r="C240" s="8" t="s">
        <v>61</v>
      </c>
      <c r="D240" s="8" t="s">
        <v>72</v>
      </c>
      <c r="E240" s="8" t="s">
        <v>73</v>
      </c>
      <c r="F240" s="8" t="s">
        <v>47</v>
      </c>
      <c r="G240" s="8" t="n">
        <v>198</v>
      </c>
      <c r="H240" s="9" t="n">
        <v>27.69</v>
      </c>
      <c r="I240" s="9" t="n">
        <v>62.26</v>
      </c>
      <c r="J240" s="10" t="n">
        <v>0.1</v>
      </c>
    </row>
    <row r="241" customFormat="false" ht="15" hidden="false" customHeight="false" outlineLevel="0" collapsed="false">
      <c r="A241" s="11" t="s">
        <v>462</v>
      </c>
      <c r="B241" s="11" t="s">
        <v>354</v>
      </c>
      <c r="C241" s="11" t="s">
        <v>61</v>
      </c>
      <c r="D241" s="11" t="s">
        <v>56</v>
      </c>
      <c r="E241" s="11" t="s">
        <v>52</v>
      </c>
      <c r="F241" s="11" t="s">
        <v>69</v>
      </c>
      <c r="G241" s="11" t="n">
        <v>272</v>
      </c>
      <c r="H241" s="12" t="n">
        <v>49.36</v>
      </c>
      <c r="I241" s="12" t="n">
        <v>81.86</v>
      </c>
      <c r="J241" s="13" t="n">
        <v>0.1</v>
      </c>
    </row>
    <row r="242" customFormat="false" ht="15" hidden="false" customHeight="false" outlineLevel="0" collapsed="false">
      <c r="A242" s="8" t="s">
        <v>463</v>
      </c>
      <c r="B242" s="8" t="s">
        <v>464</v>
      </c>
      <c r="C242" s="8" t="s">
        <v>61</v>
      </c>
      <c r="D242" s="8" t="s">
        <v>51</v>
      </c>
      <c r="E242" s="8" t="s">
        <v>52</v>
      </c>
      <c r="F242" s="8" t="s">
        <v>43</v>
      </c>
      <c r="G242" s="8" t="n">
        <v>247</v>
      </c>
      <c r="H242" s="9" t="n">
        <v>71.2</v>
      </c>
      <c r="I242" s="9" t="n">
        <v>118.15</v>
      </c>
      <c r="J242" s="10" t="n">
        <v>0.1</v>
      </c>
    </row>
    <row r="243" customFormat="false" ht="15" hidden="false" customHeight="false" outlineLevel="0" collapsed="false">
      <c r="A243" s="11" t="s">
        <v>465</v>
      </c>
      <c r="B243" s="11" t="s">
        <v>466</v>
      </c>
      <c r="C243" s="11" t="s">
        <v>55</v>
      </c>
      <c r="D243" s="11" t="s">
        <v>114</v>
      </c>
      <c r="E243" s="11" t="s">
        <v>73</v>
      </c>
      <c r="F243" s="11" t="s">
        <v>69</v>
      </c>
      <c r="G243" s="11" t="n">
        <v>303</v>
      </c>
      <c r="H243" s="12" t="n">
        <v>13.67</v>
      </c>
      <c r="I243" s="12" t="n">
        <v>30.9</v>
      </c>
      <c r="J243" s="13" t="n">
        <v>0</v>
      </c>
    </row>
    <row r="244" customFormat="false" ht="15" hidden="false" customHeight="false" outlineLevel="0" collapsed="false">
      <c r="A244" s="8" t="s">
        <v>467</v>
      </c>
      <c r="B244" s="8" t="s">
        <v>219</v>
      </c>
      <c r="C244" s="8" t="s">
        <v>40</v>
      </c>
      <c r="D244" s="8" t="s">
        <v>41</v>
      </c>
      <c r="E244" s="8" t="s">
        <v>42</v>
      </c>
      <c r="F244" s="8" t="s">
        <v>47</v>
      </c>
      <c r="G244" s="8" t="n">
        <v>150</v>
      </c>
      <c r="H244" s="9" t="n">
        <v>21.74</v>
      </c>
      <c r="I244" s="9" t="n">
        <v>46.5</v>
      </c>
      <c r="J244" s="10" t="n">
        <v>0</v>
      </c>
    </row>
    <row r="245" customFormat="false" ht="15" hidden="false" customHeight="false" outlineLevel="0" collapsed="false">
      <c r="A245" s="11" t="s">
        <v>468</v>
      </c>
      <c r="B245" s="11" t="s">
        <v>469</v>
      </c>
      <c r="C245" s="11" t="s">
        <v>55</v>
      </c>
      <c r="D245" s="11" t="s">
        <v>56</v>
      </c>
      <c r="E245" s="11" t="s">
        <v>52</v>
      </c>
      <c r="F245" s="11" t="s">
        <v>43</v>
      </c>
      <c r="G245" s="11" t="n">
        <v>277</v>
      </c>
      <c r="H245" s="12" t="n">
        <v>49.73</v>
      </c>
      <c r="I245" s="12" t="n">
        <v>88.03</v>
      </c>
      <c r="J245" s="13" t="n">
        <v>0.05</v>
      </c>
    </row>
    <row r="246" customFormat="false" ht="15" hidden="false" customHeight="false" outlineLevel="0" collapsed="false">
      <c r="A246" s="8" t="s">
        <v>470</v>
      </c>
      <c r="B246" s="8" t="s">
        <v>94</v>
      </c>
      <c r="C246" s="8" t="s">
        <v>61</v>
      </c>
      <c r="D246" s="8" t="s">
        <v>114</v>
      </c>
      <c r="E246" s="8" t="s">
        <v>73</v>
      </c>
      <c r="F246" s="8" t="s">
        <v>47</v>
      </c>
      <c r="G246" s="8" t="n">
        <v>208</v>
      </c>
      <c r="H246" s="9" t="n">
        <v>14.23</v>
      </c>
      <c r="I246" s="9" t="n">
        <v>31.26</v>
      </c>
      <c r="J246" s="10" t="n">
        <v>0.1</v>
      </c>
    </row>
    <row r="247" customFormat="false" ht="15" hidden="false" customHeight="false" outlineLevel="0" collapsed="false">
      <c r="A247" s="11" t="s">
        <v>471</v>
      </c>
      <c r="B247" s="11" t="s">
        <v>472</v>
      </c>
      <c r="C247" s="11" t="s">
        <v>55</v>
      </c>
      <c r="D247" s="11" t="s">
        <v>51</v>
      </c>
      <c r="E247" s="11" t="s">
        <v>52</v>
      </c>
      <c r="F247" s="11" t="s">
        <v>47</v>
      </c>
      <c r="G247" s="11" t="n">
        <v>234</v>
      </c>
      <c r="H247" s="12" t="n">
        <v>70.69</v>
      </c>
      <c r="I247" s="12" t="n">
        <v>116.92</v>
      </c>
      <c r="J247" s="13" t="n">
        <v>0.05</v>
      </c>
    </row>
    <row r="248" customFormat="false" ht="15" hidden="false" customHeight="false" outlineLevel="0" collapsed="false">
      <c r="A248" s="8" t="s">
        <v>473</v>
      </c>
      <c r="B248" s="8" t="s">
        <v>358</v>
      </c>
      <c r="C248" s="8" t="s">
        <v>40</v>
      </c>
      <c r="D248" s="8" t="s">
        <v>41</v>
      </c>
      <c r="E248" s="8" t="s">
        <v>42</v>
      </c>
      <c r="F248" s="8" t="s">
        <v>69</v>
      </c>
      <c r="G248" s="8" t="n">
        <v>143</v>
      </c>
      <c r="H248" s="9" t="n">
        <v>21.46</v>
      </c>
      <c r="I248" s="9" t="n">
        <v>45.04</v>
      </c>
      <c r="J248" s="10" t="n">
        <v>0</v>
      </c>
    </row>
    <row r="249" customFormat="false" ht="15" hidden="false" customHeight="false" outlineLevel="0" collapsed="false">
      <c r="A249" s="11" t="s">
        <v>474</v>
      </c>
      <c r="B249" s="11" t="s">
        <v>475</v>
      </c>
      <c r="C249" s="11" t="s">
        <v>61</v>
      </c>
      <c r="D249" s="11" t="s">
        <v>41</v>
      </c>
      <c r="E249" s="11" t="s">
        <v>42</v>
      </c>
      <c r="F249" s="11" t="s">
        <v>43</v>
      </c>
      <c r="G249" s="11" t="n">
        <v>176</v>
      </c>
      <c r="H249" s="12" t="n">
        <v>22.03</v>
      </c>
      <c r="I249" s="12" t="n">
        <v>43.54</v>
      </c>
      <c r="J249" s="13" t="n">
        <v>0.05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false"/>
  </sheetPr>
  <dimension ref="A1:Q2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1" min="10" style="0" width="10"/>
    <col collapsed="false" customWidth="true" hidden="false" outlineLevel="0" max="12" min="12" style="0" width="13"/>
    <col collapsed="false" customWidth="true" hidden="false" outlineLevel="0" max="15" min="13" style="0" width="12"/>
    <col collapsed="false" customWidth="true" hidden="false" outlineLevel="0" max="16" min="16" style="0" width="13"/>
    <col collapsed="false" customWidth="true" hidden="false" outlineLevel="0" max="17" min="17" style="0" width="10"/>
  </cols>
  <sheetData>
    <row r="1" customFormat="false" ht="15" hidden="false" customHeight="false" outlineLevel="0" collapsed="false">
      <c r="A1" s="6" t="s">
        <v>476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3" customFormat="false" ht="23.85" hidden="false" customHeight="false" outlineLevel="0" collapsed="false">
      <c r="A3" s="7" t="s">
        <v>28</v>
      </c>
      <c r="B3" s="7" t="s">
        <v>29</v>
      </c>
      <c r="C3" s="7" t="s">
        <v>477</v>
      </c>
      <c r="D3" s="7" t="s">
        <v>30</v>
      </c>
      <c r="E3" s="7" t="s">
        <v>31</v>
      </c>
      <c r="F3" s="7" t="s">
        <v>32</v>
      </c>
      <c r="G3" s="7" t="s">
        <v>33</v>
      </c>
      <c r="H3" s="7" t="s">
        <v>34</v>
      </c>
      <c r="I3" s="7" t="s">
        <v>478</v>
      </c>
      <c r="J3" s="7" t="s">
        <v>36</v>
      </c>
      <c r="K3" s="7" t="s">
        <v>37</v>
      </c>
      <c r="L3" s="7" t="s">
        <v>479</v>
      </c>
      <c r="M3" s="7" t="s">
        <v>480</v>
      </c>
      <c r="N3" s="7" t="s">
        <v>481</v>
      </c>
      <c r="O3" s="7" t="s">
        <v>482</v>
      </c>
      <c r="P3" s="7" t="s">
        <v>483</v>
      </c>
      <c r="Q3" s="7" t="s">
        <v>484</v>
      </c>
    </row>
    <row r="4" customFormat="false" ht="15" hidden="false" customHeight="false" outlineLevel="0" collapsed="false">
      <c r="A4" s="8" t="s">
        <v>150</v>
      </c>
      <c r="B4" s="14" t="s">
        <v>151</v>
      </c>
      <c r="C4" s="8" t="str">
        <f aca="false">TEXT(B4,"mmm-yyyy")</f>
        <v>Jan-2025</v>
      </c>
      <c r="D4" s="8" t="s">
        <v>55</v>
      </c>
      <c r="E4" s="8" t="s">
        <v>56</v>
      </c>
      <c r="F4" s="8" t="s">
        <v>52</v>
      </c>
      <c r="G4" s="8" t="s">
        <v>69</v>
      </c>
      <c r="H4" s="8" t="n">
        <v>205</v>
      </c>
      <c r="I4" s="9" t="n">
        <v>48.76</v>
      </c>
      <c r="J4" s="9" t="n">
        <v>88.33</v>
      </c>
      <c r="K4" s="15" t="n">
        <v>0.1</v>
      </c>
      <c r="L4" s="9" t="n">
        <f aca="false">H4*J4</f>
        <v>18107.65</v>
      </c>
      <c r="M4" s="9" t="n">
        <f aca="false">L4*K4</f>
        <v>1810.765</v>
      </c>
      <c r="N4" s="9" t="n">
        <f aca="false">L4-M4</f>
        <v>16296.885</v>
      </c>
      <c r="O4" s="9" t="n">
        <f aca="false">H4*I4</f>
        <v>9995.8</v>
      </c>
      <c r="P4" s="9" t="n">
        <f aca="false">N4-O4</f>
        <v>6301.085</v>
      </c>
      <c r="Q4" s="15" t="n">
        <f aca="false">IFERROR(P4/N4,0)</f>
        <v>0.386643521139163</v>
      </c>
    </row>
    <row r="5" customFormat="false" ht="15" hidden="false" customHeight="false" outlineLevel="0" collapsed="false">
      <c r="A5" s="11" t="s">
        <v>364</v>
      </c>
      <c r="B5" s="16" t="s">
        <v>365</v>
      </c>
      <c r="C5" s="11" t="str">
        <f aca="false">TEXT(B5,"mmm-yyyy")</f>
        <v>Jan-2025</v>
      </c>
      <c r="D5" s="11" t="s">
        <v>61</v>
      </c>
      <c r="E5" s="11" t="s">
        <v>114</v>
      </c>
      <c r="F5" s="11" t="s">
        <v>73</v>
      </c>
      <c r="G5" s="11" t="s">
        <v>47</v>
      </c>
      <c r="H5" s="11" t="n">
        <v>264</v>
      </c>
      <c r="I5" s="12" t="n">
        <v>14.26</v>
      </c>
      <c r="J5" s="12" t="n">
        <v>30.97</v>
      </c>
      <c r="K5" s="17" t="n">
        <v>0.1</v>
      </c>
      <c r="L5" s="12" t="n">
        <f aca="false">H5*J5</f>
        <v>8176.08</v>
      </c>
      <c r="M5" s="12" t="n">
        <f aca="false">L5*K5</f>
        <v>817.608</v>
      </c>
      <c r="N5" s="12" t="n">
        <f aca="false">L5-M5</f>
        <v>7358.472</v>
      </c>
      <c r="O5" s="12" t="n">
        <f aca="false">H5*I5</f>
        <v>3764.64</v>
      </c>
      <c r="P5" s="12" t="n">
        <f aca="false">N5-O5</f>
        <v>3593.832</v>
      </c>
      <c r="Q5" s="17" t="n">
        <f aca="false">IFERROR(P5/N5,0)</f>
        <v>0.488393786101245</v>
      </c>
    </row>
    <row r="6" customFormat="false" ht="15" hidden="false" customHeight="false" outlineLevel="0" collapsed="false">
      <c r="A6" s="8" t="s">
        <v>357</v>
      </c>
      <c r="B6" s="14" t="s">
        <v>358</v>
      </c>
      <c r="C6" s="8" t="str">
        <f aca="false">TEXT(B6,"mmm-yyyy")</f>
        <v>Jan-2025</v>
      </c>
      <c r="D6" s="8" t="s">
        <v>40</v>
      </c>
      <c r="E6" s="8" t="s">
        <v>56</v>
      </c>
      <c r="F6" s="8" t="s">
        <v>52</v>
      </c>
      <c r="G6" s="8" t="s">
        <v>69</v>
      </c>
      <c r="H6" s="8" t="n">
        <v>101</v>
      </c>
      <c r="I6" s="9" t="n">
        <v>50.25</v>
      </c>
      <c r="J6" s="9" t="n">
        <v>84.39</v>
      </c>
      <c r="K6" s="15" t="n">
        <v>0.05</v>
      </c>
      <c r="L6" s="9" t="n">
        <f aca="false">H6*J6</f>
        <v>8523.39</v>
      </c>
      <c r="M6" s="9" t="n">
        <f aca="false">L6*K6</f>
        <v>426.1695</v>
      </c>
      <c r="N6" s="9" t="n">
        <f aca="false">L6-M6</f>
        <v>8097.2205</v>
      </c>
      <c r="O6" s="9" t="n">
        <f aca="false">H6*I6</f>
        <v>5075.25</v>
      </c>
      <c r="P6" s="9" t="n">
        <f aca="false">N6-O6</f>
        <v>3021.9705</v>
      </c>
      <c r="Q6" s="15" t="n">
        <f aca="false">IFERROR(P6/N6,0)</f>
        <v>0.373210844387898</v>
      </c>
    </row>
    <row r="7" customFormat="false" ht="15" hidden="false" customHeight="false" outlineLevel="0" collapsed="false">
      <c r="A7" s="11" t="s">
        <v>473</v>
      </c>
      <c r="B7" s="16" t="s">
        <v>358</v>
      </c>
      <c r="C7" s="11" t="str">
        <f aca="false">TEXT(B7,"mmm-yyyy")</f>
        <v>Jan-2025</v>
      </c>
      <c r="D7" s="11" t="s">
        <v>40</v>
      </c>
      <c r="E7" s="11" t="s">
        <v>41</v>
      </c>
      <c r="F7" s="11" t="s">
        <v>42</v>
      </c>
      <c r="G7" s="11" t="s">
        <v>69</v>
      </c>
      <c r="H7" s="11" t="n">
        <v>143</v>
      </c>
      <c r="I7" s="12" t="n">
        <v>21.46</v>
      </c>
      <c r="J7" s="12" t="n">
        <v>45.04</v>
      </c>
      <c r="K7" s="17" t="n">
        <v>0</v>
      </c>
      <c r="L7" s="12" t="n">
        <f aca="false">H7*J7</f>
        <v>6440.72</v>
      </c>
      <c r="M7" s="12" t="n">
        <f aca="false">L7*K7</f>
        <v>0</v>
      </c>
      <c r="N7" s="12" t="n">
        <f aca="false">L7-M7</f>
        <v>6440.72</v>
      </c>
      <c r="O7" s="12" t="n">
        <f aca="false">H7*I7</f>
        <v>3068.78</v>
      </c>
      <c r="P7" s="12" t="n">
        <f aca="false">N7-O7</f>
        <v>3371.94</v>
      </c>
      <c r="Q7" s="17" t="n">
        <f aca="false">IFERROR(P7/N7,0)</f>
        <v>0.523534635879218</v>
      </c>
    </row>
    <row r="8" customFormat="false" ht="15" hidden="false" customHeight="false" outlineLevel="0" collapsed="false">
      <c r="A8" s="8" t="s">
        <v>57</v>
      </c>
      <c r="B8" s="14" t="s">
        <v>58</v>
      </c>
      <c r="C8" s="8" t="str">
        <f aca="false">TEXT(B8,"mmm-yyyy")</f>
        <v>Jan-2025</v>
      </c>
      <c r="D8" s="8" t="s">
        <v>46</v>
      </c>
      <c r="E8" s="8" t="s">
        <v>41</v>
      </c>
      <c r="F8" s="8" t="s">
        <v>42</v>
      </c>
      <c r="G8" s="8" t="s">
        <v>43</v>
      </c>
      <c r="H8" s="8" t="n">
        <v>207</v>
      </c>
      <c r="I8" s="9" t="n">
        <v>22.16</v>
      </c>
      <c r="J8" s="9" t="n">
        <v>46.48</v>
      </c>
      <c r="K8" s="15" t="n">
        <v>0.05</v>
      </c>
      <c r="L8" s="9" t="n">
        <f aca="false">H8*J8</f>
        <v>9621.36</v>
      </c>
      <c r="M8" s="9" t="n">
        <f aca="false">L8*K8</f>
        <v>481.068</v>
      </c>
      <c r="N8" s="9" t="n">
        <f aca="false">L8-M8</f>
        <v>9140.292</v>
      </c>
      <c r="O8" s="9" t="n">
        <f aca="false">H8*I8</f>
        <v>4587.12</v>
      </c>
      <c r="P8" s="9" t="n">
        <f aca="false">N8-O8</f>
        <v>4553.172</v>
      </c>
      <c r="Q8" s="15" t="n">
        <f aca="false">IFERROR(P8/N8,0)</f>
        <v>0.498142947730773</v>
      </c>
    </row>
    <row r="9" customFormat="false" ht="15" hidden="false" customHeight="false" outlineLevel="0" collapsed="false">
      <c r="A9" s="11" t="s">
        <v>67</v>
      </c>
      <c r="B9" s="16" t="s">
        <v>68</v>
      </c>
      <c r="C9" s="11" t="str">
        <f aca="false">TEXT(B9,"mmm-yyyy")</f>
        <v>Jan-2025</v>
      </c>
      <c r="D9" s="11" t="s">
        <v>61</v>
      </c>
      <c r="E9" s="11" t="s">
        <v>41</v>
      </c>
      <c r="F9" s="11" t="s">
        <v>42</v>
      </c>
      <c r="G9" s="11" t="s">
        <v>69</v>
      </c>
      <c r="H9" s="11" t="n">
        <v>164</v>
      </c>
      <c r="I9" s="12" t="n">
        <v>21.63</v>
      </c>
      <c r="J9" s="12" t="n">
        <v>45.85</v>
      </c>
      <c r="K9" s="17" t="n">
        <v>0.05</v>
      </c>
      <c r="L9" s="12" t="n">
        <f aca="false">H9*J9</f>
        <v>7519.4</v>
      </c>
      <c r="M9" s="12" t="n">
        <f aca="false">L9*K9</f>
        <v>375.97</v>
      </c>
      <c r="N9" s="12" t="n">
        <f aca="false">L9-M9</f>
        <v>7143.43</v>
      </c>
      <c r="O9" s="12" t="n">
        <f aca="false">H9*I9</f>
        <v>3547.32</v>
      </c>
      <c r="P9" s="12" t="n">
        <f aca="false">N9-O9</f>
        <v>3596.11</v>
      </c>
      <c r="Q9" s="17" t="n">
        <f aca="false">IFERROR(P9/N9,0)</f>
        <v>0.503415026114906</v>
      </c>
    </row>
    <row r="10" customFormat="false" ht="15" hidden="false" customHeight="false" outlineLevel="0" collapsed="false">
      <c r="A10" s="8" t="s">
        <v>117</v>
      </c>
      <c r="B10" s="14" t="s">
        <v>68</v>
      </c>
      <c r="C10" s="8" t="str">
        <f aca="false">TEXT(B10,"mmm-yyyy")</f>
        <v>Jan-2025</v>
      </c>
      <c r="D10" s="8" t="s">
        <v>55</v>
      </c>
      <c r="E10" s="8" t="s">
        <v>41</v>
      </c>
      <c r="F10" s="8" t="s">
        <v>42</v>
      </c>
      <c r="G10" s="8" t="s">
        <v>47</v>
      </c>
      <c r="H10" s="8" t="n">
        <v>241</v>
      </c>
      <c r="I10" s="9" t="n">
        <v>22.08</v>
      </c>
      <c r="J10" s="9" t="n">
        <v>45.46</v>
      </c>
      <c r="K10" s="15" t="n">
        <v>0.15</v>
      </c>
      <c r="L10" s="9" t="n">
        <f aca="false">H10*J10</f>
        <v>10955.86</v>
      </c>
      <c r="M10" s="9" t="n">
        <f aca="false">L10*K10</f>
        <v>1643.379</v>
      </c>
      <c r="N10" s="9" t="n">
        <f aca="false">L10-M10</f>
        <v>9312.481</v>
      </c>
      <c r="O10" s="9" t="n">
        <f aca="false">H10*I10</f>
        <v>5321.28</v>
      </c>
      <c r="P10" s="9" t="n">
        <f aca="false">N10-O10</f>
        <v>3991.201</v>
      </c>
      <c r="Q10" s="15" t="n">
        <f aca="false">IFERROR(P10/N10,0)</f>
        <v>0.428586216712818</v>
      </c>
    </row>
    <row r="11" customFormat="false" ht="15" hidden="false" customHeight="false" outlineLevel="0" collapsed="false">
      <c r="A11" s="11" t="s">
        <v>191</v>
      </c>
      <c r="B11" s="16" t="s">
        <v>192</v>
      </c>
      <c r="C11" s="11" t="str">
        <f aca="false">TEXT(B11,"mmm-yyyy")</f>
        <v>Jan-2025</v>
      </c>
      <c r="D11" s="11" t="s">
        <v>46</v>
      </c>
      <c r="E11" s="11" t="s">
        <v>56</v>
      </c>
      <c r="F11" s="11" t="s">
        <v>52</v>
      </c>
      <c r="G11" s="11" t="s">
        <v>43</v>
      </c>
      <c r="H11" s="11" t="n">
        <v>240</v>
      </c>
      <c r="I11" s="12" t="n">
        <v>51.27</v>
      </c>
      <c r="J11" s="12" t="n">
        <v>81.81</v>
      </c>
      <c r="K11" s="17" t="n">
        <v>0</v>
      </c>
      <c r="L11" s="12" t="n">
        <f aca="false">H11*J11</f>
        <v>19634.4</v>
      </c>
      <c r="M11" s="12" t="n">
        <f aca="false">L11*K11</f>
        <v>0</v>
      </c>
      <c r="N11" s="12" t="n">
        <f aca="false">L11-M11</f>
        <v>19634.4</v>
      </c>
      <c r="O11" s="12" t="n">
        <f aca="false">H11*I11</f>
        <v>12304.8</v>
      </c>
      <c r="P11" s="12" t="n">
        <f aca="false">N11-O11</f>
        <v>7329.6</v>
      </c>
      <c r="Q11" s="17" t="n">
        <f aca="false">IFERROR(P11/N11,0)</f>
        <v>0.373303997066373</v>
      </c>
    </row>
    <row r="12" customFormat="false" ht="15" hidden="false" customHeight="false" outlineLevel="0" collapsed="false">
      <c r="A12" s="8" t="s">
        <v>450</v>
      </c>
      <c r="B12" s="14" t="s">
        <v>451</v>
      </c>
      <c r="C12" s="8" t="str">
        <f aca="false">TEXT(B12,"mmm-yyyy")</f>
        <v>Jan-2025</v>
      </c>
      <c r="D12" s="8" t="s">
        <v>46</v>
      </c>
      <c r="E12" s="8" t="s">
        <v>72</v>
      </c>
      <c r="F12" s="8" t="s">
        <v>73</v>
      </c>
      <c r="G12" s="8" t="s">
        <v>69</v>
      </c>
      <c r="H12" s="8" t="n">
        <v>181</v>
      </c>
      <c r="I12" s="9" t="n">
        <v>27.63</v>
      </c>
      <c r="J12" s="9" t="n">
        <v>57.61</v>
      </c>
      <c r="K12" s="15" t="n">
        <v>0.05</v>
      </c>
      <c r="L12" s="9" t="n">
        <f aca="false">H12*J12</f>
        <v>10427.41</v>
      </c>
      <c r="M12" s="9" t="n">
        <f aca="false">L12*K12</f>
        <v>521.3705</v>
      </c>
      <c r="N12" s="9" t="n">
        <f aca="false">L12-M12</f>
        <v>9906.0395</v>
      </c>
      <c r="O12" s="9" t="n">
        <f aca="false">H12*I12</f>
        <v>5001.03</v>
      </c>
      <c r="P12" s="9" t="n">
        <f aca="false">N12-O12</f>
        <v>4905.0095</v>
      </c>
      <c r="Q12" s="15" t="n">
        <f aca="false">IFERROR(P12/N12,0)</f>
        <v>0.495153436446523</v>
      </c>
    </row>
    <row r="13" customFormat="false" ht="15" hidden="false" customHeight="false" outlineLevel="0" collapsed="false">
      <c r="A13" s="11" t="s">
        <v>74</v>
      </c>
      <c r="B13" s="16" t="s">
        <v>75</v>
      </c>
      <c r="C13" s="11" t="str">
        <f aca="false">TEXT(B13,"mmm-yyyy")</f>
        <v>Jan-2025</v>
      </c>
      <c r="D13" s="11" t="s">
        <v>61</v>
      </c>
      <c r="E13" s="11" t="s">
        <v>56</v>
      </c>
      <c r="F13" s="11" t="s">
        <v>52</v>
      </c>
      <c r="G13" s="11" t="s">
        <v>47</v>
      </c>
      <c r="H13" s="11" t="n">
        <v>222</v>
      </c>
      <c r="I13" s="12" t="n">
        <v>50.69</v>
      </c>
      <c r="J13" s="12" t="n">
        <v>82.2</v>
      </c>
      <c r="K13" s="17" t="n">
        <v>0</v>
      </c>
      <c r="L13" s="12" t="n">
        <f aca="false">H13*J13</f>
        <v>18248.4</v>
      </c>
      <c r="M13" s="12" t="n">
        <f aca="false">L13*K13</f>
        <v>0</v>
      </c>
      <c r="N13" s="12" t="n">
        <f aca="false">L13-M13</f>
        <v>18248.4</v>
      </c>
      <c r="O13" s="12" t="n">
        <f aca="false">H13*I13</f>
        <v>11253.18</v>
      </c>
      <c r="P13" s="12" t="n">
        <f aca="false">N13-O13</f>
        <v>6995.22</v>
      </c>
      <c r="Q13" s="17" t="n">
        <f aca="false">IFERROR(P13/N13,0)</f>
        <v>0.383333333333333</v>
      </c>
    </row>
    <row r="14" customFormat="false" ht="15" hidden="false" customHeight="false" outlineLevel="0" collapsed="false">
      <c r="A14" s="8" t="s">
        <v>311</v>
      </c>
      <c r="B14" s="14" t="s">
        <v>75</v>
      </c>
      <c r="C14" s="8" t="str">
        <f aca="false">TEXT(B14,"mmm-yyyy")</f>
        <v>Jan-2025</v>
      </c>
      <c r="D14" s="8" t="s">
        <v>55</v>
      </c>
      <c r="E14" s="8" t="s">
        <v>72</v>
      </c>
      <c r="F14" s="8" t="s">
        <v>73</v>
      </c>
      <c r="G14" s="8" t="s">
        <v>69</v>
      </c>
      <c r="H14" s="8" t="n">
        <v>179</v>
      </c>
      <c r="I14" s="9" t="n">
        <v>28.44</v>
      </c>
      <c r="J14" s="9" t="n">
        <v>58.29</v>
      </c>
      <c r="K14" s="15" t="n">
        <v>0</v>
      </c>
      <c r="L14" s="9" t="n">
        <f aca="false">H14*J14</f>
        <v>10433.91</v>
      </c>
      <c r="M14" s="9" t="n">
        <f aca="false">L14*K14</f>
        <v>0</v>
      </c>
      <c r="N14" s="9" t="n">
        <f aca="false">L14-M14</f>
        <v>10433.91</v>
      </c>
      <c r="O14" s="9" t="n">
        <f aca="false">H14*I14</f>
        <v>5090.76</v>
      </c>
      <c r="P14" s="9" t="n">
        <f aca="false">N14-O14</f>
        <v>5343.15</v>
      </c>
      <c r="Q14" s="15" t="n">
        <f aca="false">IFERROR(P14/N14,0)</f>
        <v>0.512094698919197</v>
      </c>
    </row>
    <row r="15" customFormat="false" ht="15" hidden="false" customHeight="false" outlineLevel="0" collapsed="false">
      <c r="A15" s="11" t="s">
        <v>457</v>
      </c>
      <c r="B15" s="16" t="s">
        <v>458</v>
      </c>
      <c r="C15" s="11" t="str">
        <f aca="false">TEXT(B15,"mmm-yyyy")</f>
        <v>Jan-2025</v>
      </c>
      <c r="D15" s="11" t="s">
        <v>40</v>
      </c>
      <c r="E15" s="11" t="s">
        <v>114</v>
      </c>
      <c r="F15" s="11" t="s">
        <v>73</v>
      </c>
      <c r="G15" s="11" t="s">
        <v>43</v>
      </c>
      <c r="H15" s="11" t="n">
        <v>114</v>
      </c>
      <c r="I15" s="12" t="n">
        <v>13.63</v>
      </c>
      <c r="J15" s="12" t="n">
        <v>29.77</v>
      </c>
      <c r="K15" s="17" t="n">
        <v>0.1</v>
      </c>
      <c r="L15" s="12" t="n">
        <f aca="false">H15*J15</f>
        <v>3393.78</v>
      </c>
      <c r="M15" s="12" t="n">
        <f aca="false">L15*K15</f>
        <v>339.378</v>
      </c>
      <c r="N15" s="12" t="n">
        <f aca="false">L15-M15</f>
        <v>3054.402</v>
      </c>
      <c r="O15" s="12" t="n">
        <f aca="false">H15*I15</f>
        <v>1553.82</v>
      </c>
      <c r="P15" s="12" t="n">
        <f aca="false">N15-O15</f>
        <v>1500.582</v>
      </c>
      <c r="Q15" s="17" t="n">
        <f aca="false">IFERROR(P15/N15,0)</f>
        <v>0.491285037136565</v>
      </c>
    </row>
    <row r="16" customFormat="false" ht="15" hidden="false" customHeight="false" outlineLevel="0" collapsed="false">
      <c r="A16" s="8" t="s">
        <v>404</v>
      </c>
      <c r="B16" s="14" t="s">
        <v>405</v>
      </c>
      <c r="C16" s="8" t="str">
        <f aca="false">TEXT(B16,"mmm-yyyy")</f>
        <v>Jan-2025</v>
      </c>
      <c r="D16" s="8" t="s">
        <v>40</v>
      </c>
      <c r="E16" s="8" t="s">
        <v>51</v>
      </c>
      <c r="F16" s="8" t="s">
        <v>52</v>
      </c>
      <c r="G16" s="8" t="s">
        <v>43</v>
      </c>
      <c r="H16" s="8" t="n">
        <v>238</v>
      </c>
      <c r="I16" s="9" t="n">
        <v>69.01</v>
      </c>
      <c r="J16" s="9" t="n">
        <v>119.51</v>
      </c>
      <c r="K16" s="15" t="n">
        <v>0</v>
      </c>
      <c r="L16" s="9" t="n">
        <f aca="false">H16*J16</f>
        <v>28443.38</v>
      </c>
      <c r="M16" s="9" t="n">
        <f aca="false">L16*K16</f>
        <v>0</v>
      </c>
      <c r="N16" s="9" t="n">
        <f aca="false">L16-M16</f>
        <v>28443.38</v>
      </c>
      <c r="O16" s="9" t="n">
        <f aca="false">H16*I16</f>
        <v>16424.38</v>
      </c>
      <c r="P16" s="9" t="n">
        <f aca="false">N16-O16</f>
        <v>12019</v>
      </c>
      <c r="Q16" s="15" t="n">
        <f aca="false">IFERROR(P16/N16,0)</f>
        <v>0.422558781691909</v>
      </c>
    </row>
    <row r="17" customFormat="false" ht="15" hidden="false" customHeight="false" outlineLevel="0" collapsed="false">
      <c r="A17" s="11" t="s">
        <v>423</v>
      </c>
      <c r="B17" s="16" t="s">
        <v>424</v>
      </c>
      <c r="C17" s="11" t="str">
        <f aca="false">TEXT(B17,"mmm-yyyy")</f>
        <v>Jan-2025</v>
      </c>
      <c r="D17" s="11" t="s">
        <v>61</v>
      </c>
      <c r="E17" s="11" t="s">
        <v>51</v>
      </c>
      <c r="F17" s="11" t="s">
        <v>52</v>
      </c>
      <c r="G17" s="11" t="s">
        <v>43</v>
      </c>
      <c r="H17" s="11" t="n">
        <v>140</v>
      </c>
      <c r="I17" s="12" t="n">
        <v>70.77</v>
      </c>
      <c r="J17" s="12" t="n">
        <v>122.42</v>
      </c>
      <c r="K17" s="17" t="n">
        <v>0</v>
      </c>
      <c r="L17" s="12" t="n">
        <f aca="false">H17*J17</f>
        <v>17138.8</v>
      </c>
      <c r="M17" s="12" t="n">
        <f aca="false">L17*K17</f>
        <v>0</v>
      </c>
      <c r="N17" s="12" t="n">
        <f aca="false">L17-M17</f>
        <v>17138.8</v>
      </c>
      <c r="O17" s="12" t="n">
        <f aca="false">H17*I17</f>
        <v>9907.8</v>
      </c>
      <c r="P17" s="12" t="n">
        <f aca="false">N17-O17</f>
        <v>7231</v>
      </c>
      <c r="Q17" s="17" t="n">
        <f aca="false">IFERROR(P17/N17,0)</f>
        <v>0.421908184937102</v>
      </c>
    </row>
    <row r="18" customFormat="false" ht="15" hidden="false" customHeight="false" outlineLevel="0" collapsed="false">
      <c r="A18" s="8" t="s">
        <v>461</v>
      </c>
      <c r="B18" s="14" t="s">
        <v>424</v>
      </c>
      <c r="C18" s="8" t="str">
        <f aca="false">TEXT(B18,"mmm-yyyy")</f>
        <v>Jan-2025</v>
      </c>
      <c r="D18" s="8" t="s">
        <v>61</v>
      </c>
      <c r="E18" s="8" t="s">
        <v>72</v>
      </c>
      <c r="F18" s="8" t="s">
        <v>73</v>
      </c>
      <c r="G18" s="8" t="s">
        <v>47</v>
      </c>
      <c r="H18" s="8" t="n">
        <v>198</v>
      </c>
      <c r="I18" s="9" t="n">
        <v>27.69</v>
      </c>
      <c r="J18" s="9" t="n">
        <v>62.26</v>
      </c>
      <c r="K18" s="15" t="n">
        <v>0.1</v>
      </c>
      <c r="L18" s="9" t="n">
        <f aca="false">H18*J18</f>
        <v>12327.48</v>
      </c>
      <c r="M18" s="9" t="n">
        <f aca="false">L18*K18</f>
        <v>1232.748</v>
      </c>
      <c r="N18" s="9" t="n">
        <f aca="false">L18-M18</f>
        <v>11094.732</v>
      </c>
      <c r="O18" s="9" t="n">
        <f aca="false">H18*I18</f>
        <v>5482.62</v>
      </c>
      <c r="P18" s="9" t="n">
        <f aca="false">N18-O18</f>
        <v>5612.112</v>
      </c>
      <c r="Q18" s="15" t="n">
        <f aca="false">IFERROR(P18/N18,0)</f>
        <v>0.505835742584859</v>
      </c>
    </row>
    <row r="19" customFormat="false" ht="15" hidden="false" customHeight="false" outlineLevel="0" collapsed="false">
      <c r="A19" s="11" t="s">
        <v>145</v>
      </c>
      <c r="B19" s="16" t="s">
        <v>146</v>
      </c>
      <c r="C19" s="11" t="str">
        <f aca="false">TEXT(B19,"mmm-yyyy")</f>
        <v>Jan-2025</v>
      </c>
      <c r="D19" s="11" t="s">
        <v>55</v>
      </c>
      <c r="E19" s="11" t="s">
        <v>114</v>
      </c>
      <c r="F19" s="11" t="s">
        <v>73</v>
      </c>
      <c r="G19" s="11" t="s">
        <v>69</v>
      </c>
      <c r="H19" s="11" t="n">
        <v>232</v>
      </c>
      <c r="I19" s="12" t="n">
        <v>13.81</v>
      </c>
      <c r="J19" s="12" t="n">
        <v>29.85</v>
      </c>
      <c r="K19" s="17" t="n">
        <v>0</v>
      </c>
      <c r="L19" s="12" t="n">
        <f aca="false">H19*J19</f>
        <v>6925.2</v>
      </c>
      <c r="M19" s="12" t="n">
        <f aca="false">L19*K19</f>
        <v>0</v>
      </c>
      <c r="N19" s="12" t="n">
        <f aca="false">L19-M19</f>
        <v>6925.2</v>
      </c>
      <c r="O19" s="12" t="n">
        <f aca="false">H19*I19</f>
        <v>3203.92</v>
      </c>
      <c r="P19" s="12" t="n">
        <f aca="false">N19-O19</f>
        <v>3721.28</v>
      </c>
      <c r="Q19" s="17" t="n">
        <f aca="false">IFERROR(P19/N19,0)</f>
        <v>0.537353433835846</v>
      </c>
    </row>
    <row r="20" customFormat="false" ht="15" hidden="false" customHeight="false" outlineLevel="0" collapsed="false">
      <c r="A20" s="8" t="s">
        <v>91</v>
      </c>
      <c r="B20" s="14" t="s">
        <v>92</v>
      </c>
      <c r="C20" s="8" t="str">
        <f aca="false">TEXT(B20,"mmm-yyyy")</f>
        <v>Jan-2025</v>
      </c>
      <c r="D20" s="8" t="s">
        <v>55</v>
      </c>
      <c r="E20" s="8" t="s">
        <v>51</v>
      </c>
      <c r="F20" s="8" t="s">
        <v>52</v>
      </c>
      <c r="G20" s="8" t="s">
        <v>43</v>
      </c>
      <c r="H20" s="8" t="n">
        <v>206</v>
      </c>
      <c r="I20" s="9" t="n">
        <v>68.84</v>
      </c>
      <c r="J20" s="9" t="n">
        <v>117.3</v>
      </c>
      <c r="K20" s="15" t="n">
        <v>0</v>
      </c>
      <c r="L20" s="9" t="n">
        <f aca="false">H20*J20</f>
        <v>24163.8</v>
      </c>
      <c r="M20" s="9" t="n">
        <f aca="false">L20*K20</f>
        <v>0</v>
      </c>
      <c r="N20" s="9" t="n">
        <f aca="false">L20-M20</f>
        <v>24163.8</v>
      </c>
      <c r="O20" s="9" t="n">
        <f aca="false">H20*I20</f>
        <v>14181.04</v>
      </c>
      <c r="P20" s="9" t="n">
        <f aca="false">N20-O20</f>
        <v>9982.76</v>
      </c>
      <c r="Q20" s="15" t="n">
        <f aca="false">IFERROR(P20/N20,0)</f>
        <v>0.413128729752771</v>
      </c>
    </row>
    <row r="21" customFormat="false" ht="15" hidden="false" customHeight="false" outlineLevel="0" collapsed="false">
      <c r="A21" s="11" t="s">
        <v>442</v>
      </c>
      <c r="B21" s="16" t="s">
        <v>92</v>
      </c>
      <c r="C21" s="11" t="str">
        <f aca="false">TEXT(B21,"mmm-yyyy")</f>
        <v>Jan-2025</v>
      </c>
      <c r="D21" s="11" t="s">
        <v>40</v>
      </c>
      <c r="E21" s="11" t="s">
        <v>72</v>
      </c>
      <c r="F21" s="11" t="s">
        <v>73</v>
      </c>
      <c r="G21" s="11" t="s">
        <v>43</v>
      </c>
      <c r="H21" s="11" t="n">
        <v>113</v>
      </c>
      <c r="I21" s="12" t="n">
        <v>28.79</v>
      </c>
      <c r="J21" s="12" t="n">
        <v>60.17</v>
      </c>
      <c r="K21" s="17" t="n">
        <v>0</v>
      </c>
      <c r="L21" s="12" t="n">
        <f aca="false">H21*J21</f>
        <v>6799.21</v>
      </c>
      <c r="M21" s="12" t="n">
        <f aca="false">L21*K21</f>
        <v>0</v>
      </c>
      <c r="N21" s="12" t="n">
        <f aca="false">L21-M21</f>
        <v>6799.21</v>
      </c>
      <c r="O21" s="12" t="n">
        <f aca="false">H21*I21</f>
        <v>3253.27</v>
      </c>
      <c r="P21" s="12" t="n">
        <f aca="false">N21-O21</f>
        <v>3545.94</v>
      </c>
      <c r="Q21" s="17" t="n">
        <f aca="false">IFERROR(P21/N21,0)</f>
        <v>0.521522353332225</v>
      </c>
    </row>
    <row r="22" customFormat="false" ht="15" hidden="false" customHeight="false" outlineLevel="0" collapsed="false">
      <c r="A22" s="8" t="s">
        <v>240</v>
      </c>
      <c r="B22" s="14" t="s">
        <v>241</v>
      </c>
      <c r="C22" s="8" t="str">
        <f aca="false">TEXT(B22,"mmm-yyyy")</f>
        <v>Jan-2025</v>
      </c>
      <c r="D22" s="8" t="s">
        <v>46</v>
      </c>
      <c r="E22" s="8" t="s">
        <v>51</v>
      </c>
      <c r="F22" s="8" t="s">
        <v>52</v>
      </c>
      <c r="G22" s="8" t="s">
        <v>47</v>
      </c>
      <c r="H22" s="8" t="n">
        <v>210</v>
      </c>
      <c r="I22" s="9" t="n">
        <v>71.46</v>
      </c>
      <c r="J22" s="9" t="n">
        <v>115.16</v>
      </c>
      <c r="K22" s="15" t="n">
        <v>0.15</v>
      </c>
      <c r="L22" s="9" t="n">
        <f aca="false">H22*J22</f>
        <v>24183.6</v>
      </c>
      <c r="M22" s="9" t="n">
        <f aca="false">L22*K22</f>
        <v>3627.54</v>
      </c>
      <c r="N22" s="9" t="n">
        <f aca="false">L22-M22</f>
        <v>20556.06</v>
      </c>
      <c r="O22" s="9" t="n">
        <f aca="false">H22*I22</f>
        <v>15006.6</v>
      </c>
      <c r="P22" s="9" t="n">
        <f aca="false">N22-O22</f>
        <v>5549.46</v>
      </c>
      <c r="Q22" s="15" t="n">
        <f aca="false">IFERROR(P22/N22,0)</f>
        <v>0.269967104591055</v>
      </c>
    </row>
    <row r="23" customFormat="false" ht="15" hidden="false" customHeight="false" outlineLevel="0" collapsed="false">
      <c r="A23" s="11" t="s">
        <v>118</v>
      </c>
      <c r="B23" s="16" t="s">
        <v>119</v>
      </c>
      <c r="C23" s="11" t="str">
        <f aca="false">TEXT(B23,"mmm-yyyy")</f>
        <v>Jan-2025</v>
      </c>
      <c r="D23" s="11" t="s">
        <v>46</v>
      </c>
      <c r="E23" s="11" t="s">
        <v>114</v>
      </c>
      <c r="F23" s="11" t="s">
        <v>73</v>
      </c>
      <c r="G23" s="11" t="s">
        <v>69</v>
      </c>
      <c r="H23" s="11" t="n">
        <v>190</v>
      </c>
      <c r="I23" s="12" t="n">
        <v>13.82</v>
      </c>
      <c r="J23" s="12" t="n">
        <v>29.18</v>
      </c>
      <c r="K23" s="17" t="n">
        <v>0</v>
      </c>
      <c r="L23" s="12" t="n">
        <f aca="false">H23*J23</f>
        <v>5544.2</v>
      </c>
      <c r="M23" s="12" t="n">
        <f aca="false">L23*K23</f>
        <v>0</v>
      </c>
      <c r="N23" s="12" t="n">
        <f aca="false">L23-M23</f>
        <v>5544.2</v>
      </c>
      <c r="O23" s="12" t="n">
        <f aca="false">H23*I23</f>
        <v>2625.8</v>
      </c>
      <c r="P23" s="12" t="n">
        <f aca="false">N23-O23</f>
        <v>2918.4</v>
      </c>
      <c r="Q23" s="17" t="n">
        <f aca="false">IFERROR(P23/N23,0)</f>
        <v>0.526387936943112</v>
      </c>
    </row>
    <row r="24" customFormat="false" ht="15" hidden="false" customHeight="false" outlineLevel="0" collapsed="false">
      <c r="A24" s="8" t="s">
        <v>233</v>
      </c>
      <c r="B24" s="14" t="s">
        <v>234</v>
      </c>
      <c r="C24" s="8" t="str">
        <f aca="false">TEXT(B24,"mmm-yyyy")</f>
        <v>Feb-2025</v>
      </c>
      <c r="D24" s="8" t="s">
        <v>61</v>
      </c>
      <c r="E24" s="8" t="s">
        <v>51</v>
      </c>
      <c r="F24" s="8" t="s">
        <v>52</v>
      </c>
      <c r="G24" s="8" t="s">
        <v>69</v>
      </c>
      <c r="H24" s="8" t="n">
        <v>181</v>
      </c>
      <c r="I24" s="9" t="n">
        <v>70.23</v>
      </c>
      <c r="J24" s="9" t="n">
        <v>114.25</v>
      </c>
      <c r="K24" s="15" t="n">
        <v>0.15</v>
      </c>
      <c r="L24" s="9" t="n">
        <f aca="false">H24*J24</f>
        <v>20679.25</v>
      </c>
      <c r="M24" s="9" t="n">
        <f aca="false">L24*K24</f>
        <v>3101.8875</v>
      </c>
      <c r="N24" s="9" t="n">
        <f aca="false">L24-M24</f>
        <v>17577.3625</v>
      </c>
      <c r="O24" s="9" t="n">
        <f aca="false">H24*I24</f>
        <v>12711.63</v>
      </c>
      <c r="P24" s="9" t="n">
        <f aca="false">N24-O24</f>
        <v>4865.7325</v>
      </c>
      <c r="Q24" s="15" t="n">
        <f aca="false">IFERROR(P24/N24,0)</f>
        <v>0.276818123310593</v>
      </c>
    </row>
    <row r="25" customFormat="false" ht="15" hidden="false" customHeight="false" outlineLevel="0" collapsed="false">
      <c r="A25" s="11" t="s">
        <v>437</v>
      </c>
      <c r="B25" s="16" t="s">
        <v>234</v>
      </c>
      <c r="C25" s="11" t="str">
        <f aca="false">TEXT(B25,"mmm-yyyy")</f>
        <v>Feb-2025</v>
      </c>
      <c r="D25" s="11" t="s">
        <v>55</v>
      </c>
      <c r="E25" s="11" t="s">
        <v>114</v>
      </c>
      <c r="F25" s="11" t="s">
        <v>73</v>
      </c>
      <c r="G25" s="11" t="s">
        <v>43</v>
      </c>
      <c r="H25" s="11" t="n">
        <v>316</v>
      </c>
      <c r="I25" s="12" t="n">
        <v>14.22</v>
      </c>
      <c r="J25" s="12" t="n">
        <v>28.96</v>
      </c>
      <c r="K25" s="17" t="n">
        <v>0.15</v>
      </c>
      <c r="L25" s="12" t="n">
        <f aca="false">H25*J25</f>
        <v>9151.36</v>
      </c>
      <c r="M25" s="12" t="n">
        <f aca="false">L25*K25</f>
        <v>1372.704</v>
      </c>
      <c r="N25" s="12" t="n">
        <f aca="false">L25-M25</f>
        <v>7778.656</v>
      </c>
      <c r="O25" s="12" t="n">
        <f aca="false">H25*I25</f>
        <v>4493.52</v>
      </c>
      <c r="P25" s="12" t="n">
        <f aca="false">N25-O25</f>
        <v>3285.136</v>
      </c>
      <c r="Q25" s="17" t="n">
        <f aca="false">IFERROR(P25/N25,0)</f>
        <v>0.422326941826454</v>
      </c>
    </row>
    <row r="26" customFormat="false" ht="15" hidden="false" customHeight="false" outlineLevel="0" collapsed="false">
      <c r="A26" s="8" t="s">
        <v>78</v>
      </c>
      <c r="B26" s="14" t="s">
        <v>79</v>
      </c>
      <c r="C26" s="8" t="str">
        <f aca="false">TEXT(B26,"mmm-yyyy")</f>
        <v>Feb-2025</v>
      </c>
      <c r="D26" s="8" t="s">
        <v>61</v>
      </c>
      <c r="E26" s="8" t="s">
        <v>56</v>
      </c>
      <c r="F26" s="8" t="s">
        <v>52</v>
      </c>
      <c r="G26" s="8" t="s">
        <v>69</v>
      </c>
      <c r="H26" s="8" t="n">
        <v>195</v>
      </c>
      <c r="I26" s="9" t="n">
        <v>50.39</v>
      </c>
      <c r="J26" s="9" t="n">
        <v>81.35</v>
      </c>
      <c r="K26" s="15" t="n">
        <v>0</v>
      </c>
      <c r="L26" s="9" t="n">
        <f aca="false">H26*J26</f>
        <v>15863.25</v>
      </c>
      <c r="M26" s="9" t="n">
        <f aca="false">L26*K26</f>
        <v>0</v>
      </c>
      <c r="N26" s="9" t="n">
        <f aca="false">L26-M26</f>
        <v>15863.25</v>
      </c>
      <c r="O26" s="9" t="n">
        <f aca="false">H26*I26</f>
        <v>9826.05</v>
      </c>
      <c r="P26" s="9" t="n">
        <f aca="false">N26-O26</f>
        <v>6037.2</v>
      </c>
      <c r="Q26" s="15" t="n">
        <f aca="false">IFERROR(P26/N26,0)</f>
        <v>0.380577750460971</v>
      </c>
    </row>
    <row r="27" customFormat="false" ht="15" hidden="false" customHeight="false" outlineLevel="0" collapsed="false">
      <c r="A27" s="11" t="s">
        <v>355</v>
      </c>
      <c r="B27" s="16" t="s">
        <v>79</v>
      </c>
      <c r="C27" s="11" t="str">
        <f aca="false">TEXT(B27,"mmm-yyyy")</f>
        <v>Feb-2025</v>
      </c>
      <c r="D27" s="11" t="s">
        <v>55</v>
      </c>
      <c r="E27" s="11" t="s">
        <v>72</v>
      </c>
      <c r="F27" s="11" t="s">
        <v>73</v>
      </c>
      <c r="G27" s="11" t="s">
        <v>69</v>
      </c>
      <c r="H27" s="11" t="n">
        <v>173</v>
      </c>
      <c r="I27" s="12" t="n">
        <v>27.77</v>
      </c>
      <c r="J27" s="12" t="n">
        <v>57.67</v>
      </c>
      <c r="K27" s="17" t="n">
        <v>0.05</v>
      </c>
      <c r="L27" s="12" t="n">
        <f aca="false">H27*J27</f>
        <v>9976.91</v>
      </c>
      <c r="M27" s="12" t="n">
        <f aca="false">L27*K27</f>
        <v>498.8455</v>
      </c>
      <c r="N27" s="12" t="n">
        <f aca="false">L27-M27</f>
        <v>9478.0645</v>
      </c>
      <c r="O27" s="12" t="n">
        <f aca="false">H27*I27</f>
        <v>4804.21</v>
      </c>
      <c r="P27" s="12" t="n">
        <f aca="false">N27-O27</f>
        <v>4673.8545</v>
      </c>
      <c r="Q27" s="17" t="n">
        <f aca="false">IFERROR(P27/N27,0)</f>
        <v>0.493123305923905</v>
      </c>
    </row>
    <row r="28" customFormat="false" ht="15" hidden="false" customHeight="false" outlineLevel="0" collapsed="false">
      <c r="A28" s="8" t="s">
        <v>406</v>
      </c>
      <c r="B28" s="14" t="s">
        <v>79</v>
      </c>
      <c r="C28" s="8" t="str">
        <f aca="false">TEXT(B28,"mmm-yyyy")</f>
        <v>Feb-2025</v>
      </c>
      <c r="D28" s="8" t="s">
        <v>40</v>
      </c>
      <c r="E28" s="8" t="s">
        <v>114</v>
      </c>
      <c r="F28" s="8" t="s">
        <v>73</v>
      </c>
      <c r="G28" s="8" t="s">
        <v>69</v>
      </c>
      <c r="H28" s="8" t="n">
        <v>90</v>
      </c>
      <c r="I28" s="9" t="n">
        <v>14.26</v>
      </c>
      <c r="J28" s="9" t="n">
        <v>28.73</v>
      </c>
      <c r="K28" s="15" t="n">
        <v>0.15</v>
      </c>
      <c r="L28" s="9" t="n">
        <f aca="false">H28*J28</f>
        <v>2585.7</v>
      </c>
      <c r="M28" s="9" t="n">
        <f aca="false">L28*K28</f>
        <v>387.855</v>
      </c>
      <c r="N28" s="9" t="n">
        <f aca="false">L28-M28</f>
        <v>2197.845</v>
      </c>
      <c r="O28" s="9" t="n">
        <f aca="false">H28*I28</f>
        <v>1283.4</v>
      </c>
      <c r="P28" s="9" t="n">
        <f aca="false">N28-O28</f>
        <v>914.445</v>
      </c>
      <c r="Q28" s="15" t="n">
        <f aca="false">IFERROR(P28/N28,0)</f>
        <v>0.416064372146352</v>
      </c>
    </row>
    <row r="29" customFormat="false" ht="15" hidden="false" customHeight="false" outlineLevel="0" collapsed="false">
      <c r="A29" s="11" t="s">
        <v>225</v>
      </c>
      <c r="B29" s="16" t="s">
        <v>226</v>
      </c>
      <c r="C29" s="11" t="str">
        <f aca="false">TEXT(B29,"mmm-yyyy")</f>
        <v>Feb-2025</v>
      </c>
      <c r="D29" s="11" t="s">
        <v>46</v>
      </c>
      <c r="E29" s="11" t="s">
        <v>72</v>
      </c>
      <c r="F29" s="11" t="s">
        <v>73</v>
      </c>
      <c r="G29" s="11" t="s">
        <v>47</v>
      </c>
      <c r="H29" s="11" t="n">
        <v>177</v>
      </c>
      <c r="I29" s="12" t="n">
        <v>27.9</v>
      </c>
      <c r="J29" s="12" t="n">
        <v>60.9</v>
      </c>
      <c r="K29" s="17" t="n">
        <v>0.15</v>
      </c>
      <c r="L29" s="12" t="n">
        <f aca="false">H29*J29</f>
        <v>10779.3</v>
      </c>
      <c r="M29" s="12" t="n">
        <f aca="false">L29*K29</f>
        <v>1616.895</v>
      </c>
      <c r="N29" s="12" t="n">
        <f aca="false">L29-M29</f>
        <v>9162.405</v>
      </c>
      <c r="O29" s="12" t="n">
        <f aca="false">H29*I29</f>
        <v>4938.3</v>
      </c>
      <c r="P29" s="12" t="n">
        <f aca="false">N29-O29</f>
        <v>4224.105</v>
      </c>
      <c r="Q29" s="17" t="n">
        <f aca="false">IFERROR(P29/N29,0)</f>
        <v>0.461025789626195</v>
      </c>
    </row>
    <row r="30" customFormat="false" ht="15" hidden="false" customHeight="false" outlineLevel="0" collapsed="false">
      <c r="A30" s="8" t="s">
        <v>319</v>
      </c>
      <c r="B30" s="14" t="s">
        <v>320</v>
      </c>
      <c r="C30" s="8" t="str">
        <f aca="false">TEXT(B30,"mmm-yyyy")</f>
        <v>Feb-2025</v>
      </c>
      <c r="D30" s="8" t="s">
        <v>61</v>
      </c>
      <c r="E30" s="8" t="s">
        <v>41</v>
      </c>
      <c r="F30" s="8" t="s">
        <v>42</v>
      </c>
      <c r="G30" s="8" t="s">
        <v>43</v>
      </c>
      <c r="H30" s="8" t="n">
        <v>191</v>
      </c>
      <c r="I30" s="9" t="n">
        <v>22.22</v>
      </c>
      <c r="J30" s="9" t="n">
        <v>43.82</v>
      </c>
      <c r="K30" s="15" t="n">
        <v>0</v>
      </c>
      <c r="L30" s="9" t="n">
        <f aca="false">H30*J30</f>
        <v>8369.62</v>
      </c>
      <c r="M30" s="9" t="n">
        <f aca="false">L30*K30</f>
        <v>0</v>
      </c>
      <c r="N30" s="9" t="n">
        <f aca="false">L30-M30</f>
        <v>8369.62</v>
      </c>
      <c r="O30" s="9" t="n">
        <f aca="false">H30*I30</f>
        <v>4244.02</v>
      </c>
      <c r="P30" s="9" t="n">
        <f aca="false">N30-O30</f>
        <v>4125.6</v>
      </c>
      <c r="Q30" s="15" t="n">
        <f aca="false">IFERROR(P30/N30,0)</f>
        <v>0.492925604746691</v>
      </c>
    </row>
    <row r="31" customFormat="false" ht="15" hidden="false" customHeight="false" outlineLevel="0" collapsed="false">
      <c r="A31" s="11" t="s">
        <v>152</v>
      </c>
      <c r="B31" s="16" t="s">
        <v>153</v>
      </c>
      <c r="C31" s="11" t="str">
        <f aca="false">TEXT(B31,"mmm-yyyy")</f>
        <v>Feb-2025</v>
      </c>
      <c r="D31" s="11" t="s">
        <v>55</v>
      </c>
      <c r="E31" s="11" t="s">
        <v>41</v>
      </c>
      <c r="F31" s="11" t="s">
        <v>42</v>
      </c>
      <c r="G31" s="11" t="s">
        <v>43</v>
      </c>
      <c r="H31" s="11" t="n">
        <v>266</v>
      </c>
      <c r="I31" s="12" t="n">
        <v>21.73</v>
      </c>
      <c r="J31" s="12" t="n">
        <v>46.67</v>
      </c>
      <c r="K31" s="17" t="n">
        <v>0.15</v>
      </c>
      <c r="L31" s="12" t="n">
        <f aca="false">H31*J31</f>
        <v>12414.22</v>
      </c>
      <c r="M31" s="12" t="n">
        <f aca="false">L31*K31</f>
        <v>1862.133</v>
      </c>
      <c r="N31" s="12" t="n">
        <f aca="false">L31-M31</f>
        <v>10552.087</v>
      </c>
      <c r="O31" s="12" t="n">
        <f aca="false">H31*I31</f>
        <v>5780.18</v>
      </c>
      <c r="P31" s="12" t="n">
        <f aca="false">N31-O31</f>
        <v>4771.907</v>
      </c>
      <c r="Q31" s="17" t="n">
        <f aca="false">IFERROR(P31/N31,0)</f>
        <v>0.452224000806665</v>
      </c>
    </row>
    <row r="32" customFormat="false" ht="15" hidden="false" customHeight="false" outlineLevel="0" collapsed="false">
      <c r="A32" s="8" t="s">
        <v>338</v>
      </c>
      <c r="B32" s="14" t="s">
        <v>153</v>
      </c>
      <c r="C32" s="8" t="str">
        <f aca="false">TEXT(B32,"mmm-yyyy")</f>
        <v>Feb-2025</v>
      </c>
      <c r="D32" s="8" t="s">
        <v>40</v>
      </c>
      <c r="E32" s="8" t="s">
        <v>56</v>
      </c>
      <c r="F32" s="8" t="s">
        <v>52</v>
      </c>
      <c r="G32" s="8" t="s">
        <v>69</v>
      </c>
      <c r="H32" s="8" t="n">
        <v>178</v>
      </c>
      <c r="I32" s="9" t="n">
        <v>49.52</v>
      </c>
      <c r="J32" s="9" t="n">
        <v>84.17</v>
      </c>
      <c r="K32" s="15" t="n">
        <v>0</v>
      </c>
      <c r="L32" s="9" t="n">
        <f aca="false">H32*J32</f>
        <v>14982.26</v>
      </c>
      <c r="M32" s="9" t="n">
        <f aca="false">L32*K32</f>
        <v>0</v>
      </c>
      <c r="N32" s="9" t="n">
        <f aca="false">L32-M32</f>
        <v>14982.26</v>
      </c>
      <c r="O32" s="9" t="n">
        <f aca="false">H32*I32</f>
        <v>8814.56</v>
      </c>
      <c r="P32" s="9" t="n">
        <f aca="false">N32-O32</f>
        <v>6167.7</v>
      </c>
      <c r="Q32" s="15" t="n">
        <f aca="false">IFERROR(P32/N32,0)</f>
        <v>0.411666864678627</v>
      </c>
    </row>
    <row r="33" customFormat="false" ht="15" hidden="false" customHeight="false" outlineLevel="0" collapsed="false">
      <c r="A33" s="11" t="s">
        <v>332</v>
      </c>
      <c r="B33" s="16" t="s">
        <v>333</v>
      </c>
      <c r="C33" s="11" t="str">
        <f aca="false">TEXT(B33,"mmm-yyyy")</f>
        <v>Feb-2025</v>
      </c>
      <c r="D33" s="11" t="s">
        <v>61</v>
      </c>
      <c r="E33" s="11" t="s">
        <v>114</v>
      </c>
      <c r="F33" s="11" t="s">
        <v>73</v>
      </c>
      <c r="G33" s="11" t="s">
        <v>47</v>
      </c>
      <c r="H33" s="11" t="n">
        <v>169</v>
      </c>
      <c r="I33" s="12" t="n">
        <v>14.32</v>
      </c>
      <c r="J33" s="12" t="n">
        <v>30.67</v>
      </c>
      <c r="K33" s="17" t="n">
        <v>0.15</v>
      </c>
      <c r="L33" s="12" t="n">
        <f aca="false">H33*J33</f>
        <v>5183.23</v>
      </c>
      <c r="M33" s="12" t="n">
        <f aca="false">L33*K33</f>
        <v>777.4845</v>
      </c>
      <c r="N33" s="12" t="n">
        <f aca="false">L33-M33</f>
        <v>4405.7455</v>
      </c>
      <c r="O33" s="12" t="n">
        <f aca="false">H33*I33</f>
        <v>2420.08</v>
      </c>
      <c r="P33" s="12" t="n">
        <f aca="false">N33-O33</f>
        <v>1985.6655</v>
      </c>
      <c r="Q33" s="17" t="n">
        <f aca="false">IFERROR(P33/N33,0)</f>
        <v>0.450699092809605</v>
      </c>
    </row>
    <row r="34" customFormat="false" ht="15" hidden="false" customHeight="false" outlineLevel="0" collapsed="false">
      <c r="A34" s="8" t="s">
        <v>86</v>
      </c>
      <c r="B34" s="14" t="s">
        <v>87</v>
      </c>
      <c r="C34" s="8" t="str">
        <f aca="false">TEXT(B34,"mmm-yyyy")</f>
        <v>Feb-2025</v>
      </c>
      <c r="D34" s="8" t="s">
        <v>40</v>
      </c>
      <c r="E34" s="8" t="s">
        <v>41</v>
      </c>
      <c r="F34" s="8" t="s">
        <v>42</v>
      </c>
      <c r="G34" s="8" t="s">
        <v>69</v>
      </c>
      <c r="H34" s="8" t="n">
        <v>186</v>
      </c>
      <c r="I34" s="9" t="n">
        <v>21.93</v>
      </c>
      <c r="J34" s="9" t="n">
        <v>43.61</v>
      </c>
      <c r="K34" s="15" t="n">
        <v>0.1</v>
      </c>
      <c r="L34" s="9" t="n">
        <f aca="false">H34*J34</f>
        <v>8111.46</v>
      </c>
      <c r="M34" s="9" t="n">
        <f aca="false">L34*K34</f>
        <v>811.146</v>
      </c>
      <c r="N34" s="9" t="n">
        <f aca="false">L34-M34</f>
        <v>7300.314</v>
      </c>
      <c r="O34" s="9" t="n">
        <f aca="false">H34*I34</f>
        <v>4078.98</v>
      </c>
      <c r="P34" s="9" t="n">
        <f aca="false">N34-O34</f>
        <v>3221.334</v>
      </c>
      <c r="Q34" s="15" t="n">
        <f aca="false">IFERROR(P34/N34,0)</f>
        <v>0.441259649927387</v>
      </c>
    </row>
    <row r="35" customFormat="false" ht="15" hidden="false" customHeight="false" outlineLevel="0" collapsed="false">
      <c r="A35" s="11" t="s">
        <v>340</v>
      </c>
      <c r="B35" s="16" t="s">
        <v>341</v>
      </c>
      <c r="C35" s="11" t="str">
        <f aca="false">TEXT(B35,"mmm-yyyy")</f>
        <v>Feb-2025</v>
      </c>
      <c r="D35" s="11" t="s">
        <v>55</v>
      </c>
      <c r="E35" s="11" t="s">
        <v>51</v>
      </c>
      <c r="F35" s="11" t="s">
        <v>52</v>
      </c>
      <c r="G35" s="11" t="s">
        <v>69</v>
      </c>
      <c r="H35" s="11" t="n">
        <v>295</v>
      </c>
      <c r="I35" s="12" t="n">
        <v>71.13</v>
      </c>
      <c r="J35" s="12" t="n">
        <v>123.01</v>
      </c>
      <c r="K35" s="17" t="n">
        <v>0.05</v>
      </c>
      <c r="L35" s="12" t="n">
        <f aca="false">H35*J35</f>
        <v>36287.95</v>
      </c>
      <c r="M35" s="12" t="n">
        <f aca="false">L35*K35</f>
        <v>1814.3975</v>
      </c>
      <c r="N35" s="12" t="n">
        <f aca="false">L35-M35</f>
        <v>34473.5525</v>
      </c>
      <c r="O35" s="12" t="n">
        <f aca="false">H35*I35</f>
        <v>20983.35</v>
      </c>
      <c r="P35" s="12" t="n">
        <f aca="false">N35-O35</f>
        <v>13490.2025</v>
      </c>
      <c r="Q35" s="17" t="n">
        <f aca="false">IFERROR(P35/N35,0)</f>
        <v>0.391320346227735</v>
      </c>
    </row>
    <row r="36" customFormat="false" ht="15" hidden="false" customHeight="false" outlineLevel="0" collapsed="false">
      <c r="A36" s="8" t="s">
        <v>70</v>
      </c>
      <c r="B36" s="14" t="s">
        <v>71</v>
      </c>
      <c r="C36" s="8" t="str">
        <f aca="false">TEXT(B36,"mmm-yyyy")</f>
        <v>Feb-2025</v>
      </c>
      <c r="D36" s="8" t="s">
        <v>61</v>
      </c>
      <c r="E36" s="8" t="s">
        <v>72</v>
      </c>
      <c r="F36" s="8" t="s">
        <v>73</v>
      </c>
      <c r="G36" s="8" t="s">
        <v>47</v>
      </c>
      <c r="H36" s="8" t="n">
        <v>197</v>
      </c>
      <c r="I36" s="9" t="n">
        <v>27.32</v>
      </c>
      <c r="J36" s="9" t="n">
        <v>58.14</v>
      </c>
      <c r="K36" s="15" t="n">
        <v>0.1</v>
      </c>
      <c r="L36" s="9" t="n">
        <f aca="false">H36*J36</f>
        <v>11453.58</v>
      </c>
      <c r="M36" s="9" t="n">
        <f aca="false">L36*K36</f>
        <v>1145.358</v>
      </c>
      <c r="N36" s="9" t="n">
        <f aca="false">L36-M36</f>
        <v>10308.222</v>
      </c>
      <c r="O36" s="9" t="n">
        <f aca="false">H36*I36</f>
        <v>5382.04</v>
      </c>
      <c r="P36" s="9" t="n">
        <f aca="false">N36-O36</f>
        <v>4926.182</v>
      </c>
      <c r="Q36" s="15" t="n">
        <f aca="false">IFERROR(P36/N36,0)</f>
        <v>0.477888621335474</v>
      </c>
    </row>
    <row r="37" customFormat="false" ht="15" hidden="false" customHeight="false" outlineLevel="0" collapsed="false">
      <c r="A37" s="11" t="s">
        <v>160</v>
      </c>
      <c r="B37" s="16" t="s">
        <v>71</v>
      </c>
      <c r="C37" s="11" t="str">
        <f aca="false">TEXT(B37,"mmm-yyyy")</f>
        <v>Feb-2025</v>
      </c>
      <c r="D37" s="11" t="s">
        <v>46</v>
      </c>
      <c r="E37" s="11" t="s">
        <v>41</v>
      </c>
      <c r="F37" s="11" t="s">
        <v>42</v>
      </c>
      <c r="G37" s="11" t="s">
        <v>43</v>
      </c>
      <c r="H37" s="11" t="n">
        <v>201</v>
      </c>
      <c r="I37" s="12" t="n">
        <v>21.56</v>
      </c>
      <c r="J37" s="12" t="n">
        <v>47.01</v>
      </c>
      <c r="K37" s="17" t="n">
        <v>0.15</v>
      </c>
      <c r="L37" s="12" t="n">
        <f aca="false">H37*J37</f>
        <v>9449.01</v>
      </c>
      <c r="M37" s="12" t="n">
        <f aca="false">L37*K37</f>
        <v>1417.3515</v>
      </c>
      <c r="N37" s="12" t="n">
        <f aca="false">L37-M37</f>
        <v>8031.6585</v>
      </c>
      <c r="O37" s="12" t="n">
        <f aca="false">H37*I37</f>
        <v>4333.56</v>
      </c>
      <c r="P37" s="12" t="n">
        <f aca="false">N37-O37</f>
        <v>3698.0985</v>
      </c>
      <c r="Q37" s="17" t="n">
        <f aca="false">IFERROR(P37/N37,0)</f>
        <v>0.460440206714466</v>
      </c>
    </row>
    <row r="38" customFormat="false" ht="15" hidden="false" customHeight="false" outlineLevel="0" collapsed="false">
      <c r="A38" s="8" t="s">
        <v>402</v>
      </c>
      <c r="B38" s="14" t="s">
        <v>403</v>
      </c>
      <c r="C38" s="8" t="str">
        <f aca="false">TEXT(B38,"mmm-yyyy")</f>
        <v>Feb-2025</v>
      </c>
      <c r="D38" s="8" t="s">
        <v>46</v>
      </c>
      <c r="E38" s="8" t="s">
        <v>56</v>
      </c>
      <c r="F38" s="8" t="s">
        <v>52</v>
      </c>
      <c r="G38" s="8" t="s">
        <v>43</v>
      </c>
      <c r="H38" s="8" t="n">
        <v>241</v>
      </c>
      <c r="I38" s="9" t="n">
        <v>50.8</v>
      </c>
      <c r="J38" s="9" t="n">
        <v>87.22</v>
      </c>
      <c r="K38" s="15" t="n">
        <v>0</v>
      </c>
      <c r="L38" s="9" t="n">
        <f aca="false">H38*J38</f>
        <v>21020.02</v>
      </c>
      <c r="M38" s="9" t="n">
        <f aca="false">L38*K38</f>
        <v>0</v>
      </c>
      <c r="N38" s="9" t="n">
        <f aca="false">L38-M38</f>
        <v>21020.02</v>
      </c>
      <c r="O38" s="9" t="n">
        <f aca="false">H38*I38</f>
        <v>12242.8</v>
      </c>
      <c r="P38" s="9" t="n">
        <f aca="false">N38-O38</f>
        <v>8777.22</v>
      </c>
      <c r="Q38" s="15" t="n">
        <f aca="false">IFERROR(P38/N38,0)</f>
        <v>0.417564778720477</v>
      </c>
    </row>
    <row r="39" customFormat="false" ht="15" hidden="false" customHeight="false" outlineLevel="0" collapsed="false">
      <c r="A39" s="11" t="s">
        <v>298</v>
      </c>
      <c r="B39" s="16" t="s">
        <v>299</v>
      </c>
      <c r="C39" s="11" t="str">
        <f aca="false">TEXT(B39,"mmm-yyyy")</f>
        <v>Feb-2025</v>
      </c>
      <c r="D39" s="11" t="s">
        <v>40</v>
      </c>
      <c r="E39" s="11" t="s">
        <v>51</v>
      </c>
      <c r="F39" s="11" t="s">
        <v>52</v>
      </c>
      <c r="G39" s="11" t="s">
        <v>43</v>
      </c>
      <c r="H39" s="11" t="n">
        <v>98</v>
      </c>
      <c r="I39" s="12" t="n">
        <v>71.53</v>
      </c>
      <c r="J39" s="12" t="n">
        <v>118.93</v>
      </c>
      <c r="K39" s="17" t="n">
        <v>0</v>
      </c>
      <c r="L39" s="12" t="n">
        <f aca="false">H39*J39</f>
        <v>11655.14</v>
      </c>
      <c r="M39" s="12" t="n">
        <f aca="false">L39*K39</f>
        <v>0</v>
      </c>
      <c r="N39" s="12" t="n">
        <f aca="false">L39-M39</f>
        <v>11655.14</v>
      </c>
      <c r="O39" s="12" t="n">
        <f aca="false">H39*I39</f>
        <v>7009.94</v>
      </c>
      <c r="P39" s="12" t="n">
        <f aca="false">N39-O39</f>
        <v>4645.2</v>
      </c>
      <c r="Q39" s="17" t="n">
        <f aca="false">IFERROR(P39/N39,0)</f>
        <v>0.398553771125872</v>
      </c>
    </row>
    <row r="40" customFormat="false" ht="15" hidden="false" customHeight="false" outlineLevel="0" collapsed="false">
      <c r="A40" s="8" t="s">
        <v>169</v>
      </c>
      <c r="B40" s="14" t="s">
        <v>170</v>
      </c>
      <c r="C40" s="8" t="str">
        <f aca="false">TEXT(B40,"mmm-yyyy")</f>
        <v>Feb-2025</v>
      </c>
      <c r="D40" s="8" t="s">
        <v>46</v>
      </c>
      <c r="E40" s="8" t="s">
        <v>114</v>
      </c>
      <c r="F40" s="8" t="s">
        <v>73</v>
      </c>
      <c r="G40" s="8" t="s">
        <v>47</v>
      </c>
      <c r="H40" s="8" t="n">
        <v>300</v>
      </c>
      <c r="I40" s="9" t="n">
        <v>14.16</v>
      </c>
      <c r="J40" s="9" t="n">
        <v>30.77</v>
      </c>
      <c r="K40" s="15" t="n">
        <v>0.05</v>
      </c>
      <c r="L40" s="9" t="n">
        <f aca="false">H40*J40</f>
        <v>9231</v>
      </c>
      <c r="M40" s="9" t="n">
        <f aca="false">L40*K40</f>
        <v>461.55</v>
      </c>
      <c r="N40" s="9" t="n">
        <f aca="false">L40-M40</f>
        <v>8769.45</v>
      </c>
      <c r="O40" s="9" t="n">
        <f aca="false">H40*I40</f>
        <v>4248</v>
      </c>
      <c r="P40" s="9" t="n">
        <f aca="false">N40-O40</f>
        <v>4521.45</v>
      </c>
      <c r="Q40" s="15" t="n">
        <f aca="false">IFERROR(P40/N40,0)</f>
        <v>0.515591057591981</v>
      </c>
    </row>
    <row r="41" customFormat="false" ht="15" hidden="false" customHeight="false" outlineLevel="0" collapsed="false">
      <c r="A41" s="11" t="s">
        <v>290</v>
      </c>
      <c r="B41" s="16" t="s">
        <v>291</v>
      </c>
      <c r="C41" s="11" t="str">
        <f aca="false">TEXT(B41,"mmm-yyyy")</f>
        <v>Feb-2025</v>
      </c>
      <c r="D41" s="11" t="s">
        <v>46</v>
      </c>
      <c r="E41" s="11" t="s">
        <v>51</v>
      </c>
      <c r="F41" s="11" t="s">
        <v>52</v>
      </c>
      <c r="G41" s="11" t="s">
        <v>69</v>
      </c>
      <c r="H41" s="11" t="n">
        <v>170</v>
      </c>
      <c r="I41" s="12" t="n">
        <v>70.28</v>
      </c>
      <c r="J41" s="12" t="n">
        <v>116.89</v>
      </c>
      <c r="K41" s="17" t="n">
        <v>0</v>
      </c>
      <c r="L41" s="12" t="n">
        <f aca="false">H41*J41</f>
        <v>19871.3</v>
      </c>
      <c r="M41" s="12" t="n">
        <f aca="false">L41*K41</f>
        <v>0</v>
      </c>
      <c r="N41" s="12" t="n">
        <f aca="false">L41-M41</f>
        <v>19871.3</v>
      </c>
      <c r="O41" s="12" t="n">
        <f aca="false">H41*I41</f>
        <v>11947.6</v>
      </c>
      <c r="P41" s="12" t="n">
        <f aca="false">N41-O41</f>
        <v>7923.7</v>
      </c>
      <c r="Q41" s="17" t="n">
        <f aca="false">IFERROR(P41/N41,0)</f>
        <v>0.398750962443323</v>
      </c>
    </row>
    <row r="42" customFormat="false" ht="15" hidden="false" customHeight="false" outlineLevel="0" collapsed="false">
      <c r="A42" s="8" t="s">
        <v>398</v>
      </c>
      <c r="B42" s="14" t="s">
        <v>296</v>
      </c>
      <c r="C42" s="8" t="str">
        <f aca="false">TEXT(B42,"mmm-yyyy")</f>
        <v>Feb-2025</v>
      </c>
      <c r="D42" s="8" t="s">
        <v>55</v>
      </c>
      <c r="E42" s="8" t="s">
        <v>56</v>
      </c>
      <c r="F42" s="8" t="s">
        <v>52</v>
      </c>
      <c r="G42" s="8" t="s">
        <v>43</v>
      </c>
      <c r="H42" s="8" t="n">
        <v>286</v>
      </c>
      <c r="I42" s="9" t="n">
        <v>49.86</v>
      </c>
      <c r="J42" s="9" t="n">
        <v>84.45</v>
      </c>
      <c r="K42" s="15" t="n">
        <v>0.05</v>
      </c>
      <c r="L42" s="9" t="n">
        <f aca="false">H42*J42</f>
        <v>24152.7</v>
      </c>
      <c r="M42" s="9" t="n">
        <f aca="false">L42*K42</f>
        <v>1207.635</v>
      </c>
      <c r="N42" s="9" t="n">
        <f aca="false">L42-M42</f>
        <v>22945.065</v>
      </c>
      <c r="O42" s="9" t="n">
        <f aca="false">H42*I42</f>
        <v>14259.96</v>
      </c>
      <c r="P42" s="9" t="n">
        <f aca="false">N42-O42</f>
        <v>8685.105</v>
      </c>
      <c r="Q42" s="15" t="n">
        <f aca="false">IFERROR(P42/N42,0)</f>
        <v>0.378517341310648</v>
      </c>
    </row>
    <row r="43" customFormat="false" ht="15" hidden="false" customHeight="false" outlineLevel="0" collapsed="false">
      <c r="A43" s="11" t="s">
        <v>295</v>
      </c>
      <c r="B43" s="16" t="s">
        <v>296</v>
      </c>
      <c r="C43" s="11" t="str">
        <f aca="false">TEXT(B43,"mmm-yyyy")</f>
        <v>Feb-2025</v>
      </c>
      <c r="D43" s="11" t="s">
        <v>40</v>
      </c>
      <c r="E43" s="11" t="s">
        <v>72</v>
      </c>
      <c r="F43" s="11" t="s">
        <v>73</v>
      </c>
      <c r="G43" s="11" t="s">
        <v>69</v>
      </c>
      <c r="H43" s="11" t="n">
        <v>179</v>
      </c>
      <c r="I43" s="12" t="n">
        <v>28.07</v>
      </c>
      <c r="J43" s="12" t="n">
        <v>60.91</v>
      </c>
      <c r="K43" s="17" t="n">
        <v>0</v>
      </c>
      <c r="L43" s="12" t="n">
        <f aca="false">H43*J43</f>
        <v>10902.89</v>
      </c>
      <c r="M43" s="12" t="n">
        <f aca="false">L43*K43</f>
        <v>0</v>
      </c>
      <c r="N43" s="12" t="n">
        <f aca="false">L43-M43</f>
        <v>10902.89</v>
      </c>
      <c r="O43" s="12" t="n">
        <f aca="false">H43*I43</f>
        <v>5024.53</v>
      </c>
      <c r="P43" s="12" t="n">
        <f aca="false">N43-O43</f>
        <v>5878.36</v>
      </c>
      <c r="Q43" s="17" t="n">
        <f aca="false">IFERROR(P43/N43,0)</f>
        <v>0.53915613199803</v>
      </c>
    </row>
    <row r="44" customFormat="false" ht="15" hidden="false" customHeight="false" outlineLevel="0" collapsed="false">
      <c r="A44" s="8" t="s">
        <v>141</v>
      </c>
      <c r="B44" s="14" t="s">
        <v>142</v>
      </c>
      <c r="C44" s="8" t="str">
        <f aca="false">TEXT(B44,"mmm-yyyy")</f>
        <v>Mar-2025</v>
      </c>
      <c r="D44" s="8" t="s">
        <v>40</v>
      </c>
      <c r="E44" s="8" t="s">
        <v>114</v>
      </c>
      <c r="F44" s="8" t="s">
        <v>73</v>
      </c>
      <c r="G44" s="8" t="s">
        <v>43</v>
      </c>
      <c r="H44" s="8" t="n">
        <v>237</v>
      </c>
      <c r="I44" s="9" t="n">
        <v>13.95</v>
      </c>
      <c r="J44" s="9" t="n">
        <v>28.98</v>
      </c>
      <c r="K44" s="15" t="n">
        <v>0.1</v>
      </c>
      <c r="L44" s="9" t="n">
        <f aca="false">H44*J44</f>
        <v>6868.26</v>
      </c>
      <c r="M44" s="9" t="n">
        <f aca="false">L44*K44</f>
        <v>686.826</v>
      </c>
      <c r="N44" s="9" t="n">
        <f aca="false">L44-M44</f>
        <v>6181.434</v>
      </c>
      <c r="O44" s="9" t="n">
        <f aca="false">H44*I44</f>
        <v>3306.15</v>
      </c>
      <c r="P44" s="9" t="n">
        <f aca="false">N44-O44</f>
        <v>2875.284</v>
      </c>
      <c r="Q44" s="15" t="n">
        <f aca="false">IFERROR(P44/N44,0)</f>
        <v>0.465148378191857</v>
      </c>
    </row>
    <row r="45" customFormat="false" ht="15" hidden="false" customHeight="false" outlineLevel="0" collapsed="false">
      <c r="A45" s="11" t="s">
        <v>394</v>
      </c>
      <c r="B45" s="16" t="s">
        <v>210</v>
      </c>
      <c r="C45" s="11" t="str">
        <f aca="false">TEXT(B45,"mmm-yyyy")</f>
        <v>Mar-2025</v>
      </c>
      <c r="D45" s="11" t="s">
        <v>55</v>
      </c>
      <c r="E45" s="11" t="s">
        <v>72</v>
      </c>
      <c r="F45" s="11" t="s">
        <v>73</v>
      </c>
      <c r="G45" s="11" t="s">
        <v>69</v>
      </c>
      <c r="H45" s="11" t="n">
        <v>248</v>
      </c>
      <c r="I45" s="12" t="n">
        <v>27.96</v>
      </c>
      <c r="J45" s="12" t="n">
        <v>57.3</v>
      </c>
      <c r="K45" s="17" t="n">
        <v>0.15</v>
      </c>
      <c r="L45" s="12" t="n">
        <f aca="false">H45*J45</f>
        <v>14210.4</v>
      </c>
      <c r="M45" s="12" t="n">
        <f aca="false">L45*K45</f>
        <v>2131.56</v>
      </c>
      <c r="N45" s="12" t="n">
        <f aca="false">L45-M45</f>
        <v>12078.84</v>
      </c>
      <c r="O45" s="12" t="n">
        <f aca="false">H45*I45</f>
        <v>6934.08</v>
      </c>
      <c r="P45" s="12" t="n">
        <f aca="false">N45-O45</f>
        <v>5144.76</v>
      </c>
      <c r="Q45" s="17" t="n">
        <f aca="false">IFERROR(P45/N45,0)</f>
        <v>0.425931629196181</v>
      </c>
    </row>
    <row r="46" customFormat="false" ht="15" hidden="false" customHeight="false" outlineLevel="0" collapsed="false">
      <c r="A46" s="8" t="s">
        <v>209</v>
      </c>
      <c r="B46" s="14" t="s">
        <v>210</v>
      </c>
      <c r="C46" s="8" t="str">
        <f aca="false">TEXT(B46,"mmm-yyyy")</f>
        <v>Mar-2025</v>
      </c>
      <c r="D46" s="8" t="s">
        <v>40</v>
      </c>
      <c r="E46" s="8" t="s">
        <v>72</v>
      </c>
      <c r="F46" s="8" t="s">
        <v>73</v>
      </c>
      <c r="G46" s="8" t="s">
        <v>43</v>
      </c>
      <c r="H46" s="8" t="n">
        <v>242</v>
      </c>
      <c r="I46" s="9" t="n">
        <v>28.75</v>
      </c>
      <c r="J46" s="9" t="n">
        <v>57.67</v>
      </c>
      <c r="K46" s="15" t="n">
        <v>0</v>
      </c>
      <c r="L46" s="9" t="n">
        <f aca="false">H46*J46</f>
        <v>13956.14</v>
      </c>
      <c r="M46" s="9" t="n">
        <f aca="false">L46*K46</f>
        <v>0</v>
      </c>
      <c r="N46" s="9" t="n">
        <f aca="false">L46-M46</f>
        <v>13956.14</v>
      </c>
      <c r="O46" s="9" t="n">
        <f aca="false">H46*I46</f>
        <v>6957.5</v>
      </c>
      <c r="P46" s="9" t="n">
        <f aca="false">N46-O46</f>
        <v>6998.64</v>
      </c>
      <c r="Q46" s="15" t="n">
        <f aca="false">IFERROR(P46/N46,0)</f>
        <v>0.501473903242587</v>
      </c>
    </row>
    <row r="47" customFormat="false" ht="15" hidden="false" customHeight="false" outlineLevel="0" collapsed="false">
      <c r="A47" s="11" t="s">
        <v>107</v>
      </c>
      <c r="B47" s="16" t="s">
        <v>98</v>
      </c>
      <c r="C47" s="11" t="str">
        <f aca="false">TEXT(B47,"mmm-yyyy")</f>
        <v>Mar-2025</v>
      </c>
      <c r="D47" s="11" t="s">
        <v>61</v>
      </c>
      <c r="E47" s="11" t="s">
        <v>51</v>
      </c>
      <c r="F47" s="11" t="s">
        <v>52</v>
      </c>
      <c r="G47" s="11" t="s">
        <v>69</v>
      </c>
      <c r="H47" s="11" t="n">
        <v>185</v>
      </c>
      <c r="I47" s="12" t="n">
        <v>70.51</v>
      </c>
      <c r="J47" s="12" t="n">
        <v>114.11</v>
      </c>
      <c r="K47" s="17" t="n">
        <v>0.15</v>
      </c>
      <c r="L47" s="12" t="n">
        <f aca="false">H47*J47</f>
        <v>21110.35</v>
      </c>
      <c r="M47" s="12" t="n">
        <f aca="false">L47*K47</f>
        <v>3166.5525</v>
      </c>
      <c r="N47" s="12" t="n">
        <f aca="false">L47-M47</f>
        <v>17943.7975</v>
      </c>
      <c r="O47" s="12" t="n">
        <f aca="false">H47*I47</f>
        <v>13044.35</v>
      </c>
      <c r="P47" s="12" t="n">
        <f aca="false">N47-O47</f>
        <v>4899.4475</v>
      </c>
      <c r="Q47" s="17" t="n">
        <f aca="false">IFERROR(P47/N47,0)</f>
        <v>0.273044069963451</v>
      </c>
    </row>
    <row r="48" customFormat="false" ht="15" hidden="false" customHeight="false" outlineLevel="0" collapsed="false">
      <c r="A48" s="8" t="s">
        <v>97</v>
      </c>
      <c r="B48" s="14" t="s">
        <v>98</v>
      </c>
      <c r="C48" s="8" t="str">
        <f aca="false">TEXT(B48,"mmm-yyyy")</f>
        <v>Mar-2025</v>
      </c>
      <c r="D48" s="8" t="s">
        <v>61</v>
      </c>
      <c r="E48" s="8" t="s">
        <v>56</v>
      </c>
      <c r="F48" s="8" t="s">
        <v>52</v>
      </c>
      <c r="G48" s="8" t="s">
        <v>47</v>
      </c>
      <c r="H48" s="8" t="n">
        <v>144</v>
      </c>
      <c r="I48" s="9" t="n">
        <v>50.02</v>
      </c>
      <c r="J48" s="9" t="n">
        <v>85.32</v>
      </c>
      <c r="K48" s="15" t="n">
        <v>0</v>
      </c>
      <c r="L48" s="9" t="n">
        <f aca="false">H48*J48</f>
        <v>12286.08</v>
      </c>
      <c r="M48" s="9" t="n">
        <f aca="false">L48*K48</f>
        <v>0</v>
      </c>
      <c r="N48" s="9" t="n">
        <f aca="false">L48-M48</f>
        <v>12286.08</v>
      </c>
      <c r="O48" s="9" t="n">
        <f aca="false">H48*I48</f>
        <v>7202.88</v>
      </c>
      <c r="P48" s="9" t="n">
        <f aca="false">N48-O48</f>
        <v>5083.2</v>
      </c>
      <c r="Q48" s="15" t="n">
        <f aca="false">IFERROR(P48/N48,0)</f>
        <v>0.413736521331458</v>
      </c>
    </row>
    <row r="49" customFormat="false" ht="15" hidden="false" customHeight="false" outlineLevel="0" collapsed="false">
      <c r="A49" s="11" t="s">
        <v>380</v>
      </c>
      <c r="B49" s="16" t="s">
        <v>381</v>
      </c>
      <c r="C49" s="11" t="str">
        <f aca="false">TEXT(B49,"mmm-yyyy")</f>
        <v>Mar-2025</v>
      </c>
      <c r="D49" s="11" t="s">
        <v>55</v>
      </c>
      <c r="E49" s="11" t="s">
        <v>51</v>
      </c>
      <c r="F49" s="11" t="s">
        <v>52</v>
      </c>
      <c r="G49" s="11" t="s">
        <v>69</v>
      </c>
      <c r="H49" s="11" t="n">
        <v>243</v>
      </c>
      <c r="I49" s="12" t="n">
        <v>68.8</v>
      </c>
      <c r="J49" s="12" t="n">
        <v>119.83</v>
      </c>
      <c r="K49" s="17" t="n">
        <v>0.1</v>
      </c>
      <c r="L49" s="12" t="n">
        <f aca="false">H49*J49</f>
        <v>29118.69</v>
      </c>
      <c r="M49" s="12" t="n">
        <f aca="false">L49*K49</f>
        <v>2911.869</v>
      </c>
      <c r="N49" s="12" t="n">
        <f aca="false">L49-M49</f>
        <v>26206.821</v>
      </c>
      <c r="O49" s="12" t="n">
        <f aca="false">H49*I49</f>
        <v>16718.4</v>
      </c>
      <c r="P49" s="12" t="n">
        <f aca="false">N49-O49</f>
        <v>9488.421</v>
      </c>
      <c r="Q49" s="17" t="n">
        <f aca="false">IFERROR(P49/N49,0)</f>
        <v>0.362059213515443</v>
      </c>
    </row>
    <row r="50" customFormat="false" ht="15" hidden="false" customHeight="false" outlineLevel="0" collapsed="false">
      <c r="A50" s="8" t="s">
        <v>101</v>
      </c>
      <c r="B50" s="14" t="s">
        <v>102</v>
      </c>
      <c r="C50" s="8" t="str">
        <f aca="false">TEXT(B50,"mmm-yyyy")</f>
        <v>Mar-2025</v>
      </c>
      <c r="D50" s="8" t="s">
        <v>55</v>
      </c>
      <c r="E50" s="8" t="s">
        <v>41</v>
      </c>
      <c r="F50" s="8" t="s">
        <v>42</v>
      </c>
      <c r="G50" s="8" t="s">
        <v>69</v>
      </c>
      <c r="H50" s="8" t="n">
        <v>114</v>
      </c>
      <c r="I50" s="9" t="n">
        <v>22.07</v>
      </c>
      <c r="J50" s="9" t="n">
        <v>47.23</v>
      </c>
      <c r="K50" s="15" t="n">
        <v>0.1</v>
      </c>
      <c r="L50" s="9" t="n">
        <f aca="false">H50*J50</f>
        <v>5384.22</v>
      </c>
      <c r="M50" s="9" t="n">
        <f aca="false">L50*K50</f>
        <v>538.422</v>
      </c>
      <c r="N50" s="9" t="n">
        <f aca="false">L50-M50</f>
        <v>4845.798</v>
      </c>
      <c r="O50" s="9" t="n">
        <f aca="false">H50*I50</f>
        <v>2515.98</v>
      </c>
      <c r="P50" s="9" t="n">
        <f aca="false">N50-O50</f>
        <v>2329.818</v>
      </c>
      <c r="Q50" s="15" t="n">
        <f aca="false">IFERROR(P50/N50,0)</f>
        <v>0.480791399063684</v>
      </c>
    </row>
    <row r="51" customFormat="false" ht="15" hidden="false" customHeight="false" outlineLevel="0" collapsed="false">
      <c r="A51" s="11" t="s">
        <v>304</v>
      </c>
      <c r="B51" s="16" t="s">
        <v>305</v>
      </c>
      <c r="C51" s="11" t="str">
        <f aca="false">TEXT(B51,"mmm-yyyy")</f>
        <v>Mar-2025</v>
      </c>
      <c r="D51" s="11" t="s">
        <v>61</v>
      </c>
      <c r="E51" s="11" t="s">
        <v>72</v>
      </c>
      <c r="F51" s="11" t="s">
        <v>73</v>
      </c>
      <c r="G51" s="11" t="s">
        <v>69</v>
      </c>
      <c r="H51" s="11" t="n">
        <v>253</v>
      </c>
      <c r="I51" s="12" t="n">
        <v>28.65</v>
      </c>
      <c r="J51" s="12" t="n">
        <v>58.59</v>
      </c>
      <c r="K51" s="17" t="n">
        <v>0.15</v>
      </c>
      <c r="L51" s="12" t="n">
        <f aca="false">H51*J51</f>
        <v>14823.27</v>
      </c>
      <c r="M51" s="12" t="n">
        <f aca="false">L51*K51</f>
        <v>2223.4905</v>
      </c>
      <c r="N51" s="12" t="n">
        <f aca="false">L51-M51</f>
        <v>12599.7795</v>
      </c>
      <c r="O51" s="12" t="n">
        <f aca="false">H51*I51</f>
        <v>7248.45</v>
      </c>
      <c r="P51" s="12" t="n">
        <f aca="false">N51-O51</f>
        <v>5351.3295</v>
      </c>
      <c r="Q51" s="17" t="n">
        <f aca="false">IFERROR(P51/N51,0)</f>
        <v>0.424716123008343</v>
      </c>
    </row>
    <row r="52" customFormat="false" ht="15" hidden="false" customHeight="false" outlineLevel="0" collapsed="false">
      <c r="A52" s="8" t="s">
        <v>415</v>
      </c>
      <c r="B52" s="14" t="s">
        <v>305</v>
      </c>
      <c r="C52" s="8" t="str">
        <f aca="false">TEXT(B52,"mmm-yyyy")</f>
        <v>Mar-2025</v>
      </c>
      <c r="D52" s="8" t="s">
        <v>46</v>
      </c>
      <c r="E52" s="8" t="s">
        <v>114</v>
      </c>
      <c r="F52" s="8" t="s">
        <v>73</v>
      </c>
      <c r="G52" s="8" t="s">
        <v>69</v>
      </c>
      <c r="H52" s="8" t="n">
        <v>169</v>
      </c>
      <c r="I52" s="9" t="n">
        <v>14.14</v>
      </c>
      <c r="J52" s="9" t="n">
        <v>29.28</v>
      </c>
      <c r="K52" s="15" t="n">
        <v>0.05</v>
      </c>
      <c r="L52" s="9" t="n">
        <f aca="false">H52*J52</f>
        <v>4948.32</v>
      </c>
      <c r="M52" s="9" t="n">
        <f aca="false">L52*K52</f>
        <v>247.416</v>
      </c>
      <c r="N52" s="9" t="n">
        <f aca="false">L52-M52</f>
        <v>4700.904</v>
      </c>
      <c r="O52" s="9" t="n">
        <f aca="false">H52*I52</f>
        <v>2389.66</v>
      </c>
      <c r="P52" s="9" t="n">
        <f aca="false">N52-O52</f>
        <v>2311.244</v>
      </c>
      <c r="Q52" s="15" t="n">
        <f aca="false">IFERROR(P52/N52,0)</f>
        <v>0.491659476560253</v>
      </c>
    </row>
    <row r="53" customFormat="false" ht="15" hidden="false" customHeight="false" outlineLevel="0" collapsed="false">
      <c r="A53" s="11" t="s">
        <v>53</v>
      </c>
      <c r="B53" s="16" t="s">
        <v>54</v>
      </c>
      <c r="C53" s="11" t="str">
        <f aca="false">TEXT(B53,"mmm-yyyy")</f>
        <v>Mar-2025</v>
      </c>
      <c r="D53" s="11" t="s">
        <v>55</v>
      </c>
      <c r="E53" s="11" t="s">
        <v>56</v>
      </c>
      <c r="F53" s="11" t="s">
        <v>52</v>
      </c>
      <c r="G53" s="11" t="s">
        <v>47</v>
      </c>
      <c r="H53" s="11" t="n">
        <v>201</v>
      </c>
      <c r="I53" s="12" t="n">
        <v>51.46</v>
      </c>
      <c r="J53" s="12" t="n">
        <v>83.97</v>
      </c>
      <c r="K53" s="17" t="n">
        <v>0.05</v>
      </c>
      <c r="L53" s="12" t="n">
        <f aca="false">H53*J53</f>
        <v>16877.97</v>
      </c>
      <c r="M53" s="12" t="n">
        <f aca="false">L53*K53</f>
        <v>843.8985</v>
      </c>
      <c r="N53" s="12" t="n">
        <f aca="false">L53-M53</f>
        <v>16034.0715</v>
      </c>
      <c r="O53" s="12" t="n">
        <f aca="false">H53*I53</f>
        <v>10343.46</v>
      </c>
      <c r="P53" s="12" t="n">
        <f aca="false">N53-O53</f>
        <v>5690.6115</v>
      </c>
      <c r="Q53" s="17" t="n">
        <f aca="false">IFERROR(P53/N53,0)</f>
        <v>0.354907454416678</v>
      </c>
    </row>
    <row r="54" customFormat="false" ht="15" hidden="false" customHeight="false" outlineLevel="0" collapsed="false">
      <c r="A54" s="8" t="s">
        <v>82</v>
      </c>
      <c r="B54" s="14" t="s">
        <v>83</v>
      </c>
      <c r="C54" s="8" t="str">
        <f aca="false">TEXT(B54,"mmm-yyyy")</f>
        <v>Mar-2025</v>
      </c>
      <c r="D54" s="8" t="s">
        <v>46</v>
      </c>
      <c r="E54" s="8" t="s">
        <v>72</v>
      </c>
      <c r="F54" s="8" t="s">
        <v>73</v>
      </c>
      <c r="G54" s="8" t="s">
        <v>47</v>
      </c>
      <c r="H54" s="8" t="n">
        <v>190</v>
      </c>
      <c r="I54" s="9" t="n">
        <v>28.29</v>
      </c>
      <c r="J54" s="9" t="n">
        <v>59.37</v>
      </c>
      <c r="K54" s="15" t="n">
        <v>0.05</v>
      </c>
      <c r="L54" s="9" t="n">
        <f aca="false">H54*J54</f>
        <v>11280.3</v>
      </c>
      <c r="M54" s="9" t="n">
        <f aca="false">L54*K54</f>
        <v>564.015</v>
      </c>
      <c r="N54" s="9" t="n">
        <f aca="false">L54-M54</f>
        <v>10716.285</v>
      </c>
      <c r="O54" s="9" t="n">
        <f aca="false">H54*I54</f>
        <v>5375.1</v>
      </c>
      <c r="P54" s="9" t="n">
        <f aca="false">N54-O54</f>
        <v>5341.185</v>
      </c>
      <c r="Q54" s="15" t="n">
        <f aca="false">IFERROR(P54/N54,0)</f>
        <v>0.498417595276721</v>
      </c>
    </row>
    <row r="55" customFormat="false" ht="15" hidden="false" customHeight="false" outlineLevel="0" collapsed="false">
      <c r="A55" s="11" t="s">
        <v>274</v>
      </c>
      <c r="B55" s="16" t="s">
        <v>275</v>
      </c>
      <c r="C55" s="11" t="str">
        <f aca="false">TEXT(B55,"mmm-yyyy")</f>
        <v>Mar-2025</v>
      </c>
      <c r="D55" s="11" t="s">
        <v>55</v>
      </c>
      <c r="E55" s="11" t="s">
        <v>114</v>
      </c>
      <c r="F55" s="11" t="s">
        <v>73</v>
      </c>
      <c r="G55" s="11" t="s">
        <v>43</v>
      </c>
      <c r="H55" s="11" t="n">
        <v>284</v>
      </c>
      <c r="I55" s="12" t="n">
        <v>14.39</v>
      </c>
      <c r="J55" s="12" t="n">
        <v>29.39</v>
      </c>
      <c r="K55" s="17" t="n">
        <v>0.15</v>
      </c>
      <c r="L55" s="12" t="n">
        <f aca="false">H55*J55</f>
        <v>8346.76</v>
      </c>
      <c r="M55" s="12" t="n">
        <f aca="false">L55*K55</f>
        <v>1252.014</v>
      </c>
      <c r="N55" s="12" t="n">
        <f aca="false">L55-M55</f>
        <v>7094.746</v>
      </c>
      <c r="O55" s="12" t="n">
        <f aca="false">H55*I55</f>
        <v>4086.76</v>
      </c>
      <c r="P55" s="12" t="n">
        <f aca="false">N55-O55</f>
        <v>3007.986</v>
      </c>
      <c r="Q55" s="17" t="n">
        <f aca="false">IFERROR(P55/N55,0)</f>
        <v>0.42397374056802</v>
      </c>
    </row>
    <row r="56" customFormat="false" ht="15" hidden="false" customHeight="false" outlineLevel="0" collapsed="false">
      <c r="A56" s="8" t="s">
        <v>306</v>
      </c>
      <c r="B56" s="14" t="s">
        <v>215</v>
      </c>
      <c r="C56" s="8" t="str">
        <f aca="false">TEXT(B56,"mmm-yyyy")</f>
        <v>Mar-2025</v>
      </c>
      <c r="D56" s="8" t="s">
        <v>46</v>
      </c>
      <c r="E56" s="8" t="s">
        <v>56</v>
      </c>
      <c r="F56" s="8" t="s">
        <v>52</v>
      </c>
      <c r="G56" s="8" t="s">
        <v>69</v>
      </c>
      <c r="H56" s="8" t="n">
        <v>288</v>
      </c>
      <c r="I56" s="9" t="n">
        <v>51.32</v>
      </c>
      <c r="J56" s="9" t="n">
        <v>84.18</v>
      </c>
      <c r="K56" s="15" t="n">
        <v>0.15</v>
      </c>
      <c r="L56" s="9" t="n">
        <f aca="false">H56*J56</f>
        <v>24243.84</v>
      </c>
      <c r="M56" s="9" t="n">
        <f aca="false">L56*K56</f>
        <v>3636.576</v>
      </c>
      <c r="N56" s="9" t="n">
        <f aca="false">L56-M56</f>
        <v>20607.264</v>
      </c>
      <c r="O56" s="9" t="n">
        <f aca="false">H56*I56</f>
        <v>14780.16</v>
      </c>
      <c r="P56" s="9" t="n">
        <f aca="false">N56-O56</f>
        <v>5827.104</v>
      </c>
      <c r="Q56" s="15" t="n">
        <f aca="false">IFERROR(P56/N56,0)</f>
        <v>0.282769415677889</v>
      </c>
    </row>
    <row r="57" customFormat="false" ht="15" hidden="false" customHeight="false" outlineLevel="0" collapsed="false">
      <c r="A57" s="11" t="s">
        <v>214</v>
      </c>
      <c r="B57" s="16" t="s">
        <v>215</v>
      </c>
      <c r="C57" s="11" t="str">
        <f aca="false">TEXT(B57,"mmm-yyyy")</f>
        <v>Mar-2025</v>
      </c>
      <c r="D57" s="11" t="s">
        <v>46</v>
      </c>
      <c r="E57" s="11" t="s">
        <v>41</v>
      </c>
      <c r="F57" s="11" t="s">
        <v>42</v>
      </c>
      <c r="G57" s="11" t="s">
        <v>43</v>
      </c>
      <c r="H57" s="11" t="n">
        <v>243</v>
      </c>
      <c r="I57" s="12" t="n">
        <v>22.16</v>
      </c>
      <c r="J57" s="12" t="n">
        <v>45.43</v>
      </c>
      <c r="K57" s="17" t="n">
        <v>0.1</v>
      </c>
      <c r="L57" s="12" t="n">
        <f aca="false">H57*J57</f>
        <v>11039.49</v>
      </c>
      <c r="M57" s="12" t="n">
        <f aca="false">L57*K57</f>
        <v>1103.949</v>
      </c>
      <c r="N57" s="12" t="n">
        <f aca="false">L57-M57</f>
        <v>9935.541</v>
      </c>
      <c r="O57" s="12" t="n">
        <f aca="false">H57*I57</f>
        <v>5384.88</v>
      </c>
      <c r="P57" s="12" t="n">
        <f aca="false">N57-O57</f>
        <v>4550.661</v>
      </c>
      <c r="Q57" s="17" t="n">
        <f aca="false">IFERROR(P57/N57,0)</f>
        <v>0.458018441069288</v>
      </c>
    </row>
    <row r="58" customFormat="false" ht="15" hidden="false" customHeight="false" outlineLevel="0" collapsed="false">
      <c r="A58" s="8" t="s">
        <v>88</v>
      </c>
      <c r="B58" s="14" t="s">
        <v>89</v>
      </c>
      <c r="C58" s="8" t="str">
        <f aca="false">TEXT(B58,"mmm-yyyy")</f>
        <v>Mar-2025</v>
      </c>
      <c r="D58" s="8" t="s">
        <v>46</v>
      </c>
      <c r="E58" s="8" t="s">
        <v>51</v>
      </c>
      <c r="F58" s="8" t="s">
        <v>52</v>
      </c>
      <c r="G58" s="8" t="s">
        <v>69</v>
      </c>
      <c r="H58" s="8" t="n">
        <v>220</v>
      </c>
      <c r="I58" s="9" t="n">
        <v>68.24</v>
      </c>
      <c r="J58" s="9" t="n">
        <v>125.53</v>
      </c>
      <c r="K58" s="15" t="n">
        <v>0</v>
      </c>
      <c r="L58" s="9" t="n">
        <f aca="false">H58*J58</f>
        <v>27616.6</v>
      </c>
      <c r="M58" s="9" t="n">
        <f aca="false">L58*K58</f>
        <v>0</v>
      </c>
      <c r="N58" s="9" t="n">
        <f aca="false">L58-M58</f>
        <v>27616.6</v>
      </c>
      <c r="O58" s="9" t="n">
        <f aca="false">H58*I58</f>
        <v>15012.8</v>
      </c>
      <c r="P58" s="9" t="n">
        <f aca="false">N58-O58</f>
        <v>12603.8</v>
      </c>
      <c r="Q58" s="15" t="n">
        <f aca="false">IFERROR(P58/N58,0)</f>
        <v>0.45638492790568</v>
      </c>
    </row>
    <row r="59" customFormat="false" ht="15" hidden="false" customHeight="false" outlineLevel="0" collapsed="false">
      <c r="A59" s="11" t="s">
        <v>242</v>
      </c>
      <c r="B59" s="16" t="s">
        <v>243</v>
      </c>
      <c r="C59" s="11" t="str">
        <f aca="false">TEXT(B59,"mmm-yyyy")</f>
        <v>Mar-2025</v>
      </c>
      <c r="D59" s="11" t="s">
        <v>40</v>
      </c>
      <c r="E59" s="11" t="s">
        <v>56</v>
      </c>
      <c r="F59" s="11" t="s">
        <v>52</v>
      </c>
      <c r="G59" s="11" t="s">
        <v>69</v>
      </c>
      <c r="H59" s="11" t="n">
        <v>147</v>
      </c>
      <c r="I59" s="12" t="n">
        <v>51.22</v>
      </c>
      <c r="J59" s="12" t="n">
        <v>84.9</v>
      </c>
      <c r="K59" s="17" t="n">
        <v>0</v>
      </c>
      <c r="L59" s="12" t="n">
        <f aca="false">H59*J59</f>
        <v>12480.3</v>
      </c>
      <c r="M59" s="12" t="n">
        <f aca="false">L59*K59</f>
        <v>0</v>
      </c>
      <c r="N59" s="12" t="n">
        <f aca="false">L59-M59</f>
        <v>12480.3</v>
      </c>
      <c r="O59" s="12" t="n">
        <f aca="false">H59*I59</f>
        <v>7529.34</v>
      </c>
      <c r="P59" s="12" t="n">
        <f aca="false">N59-O59</f>
        <v>4950.96</v>
      </c>
      <c r="Q59" s="17" t="n">
        <f aca="false">IFERROR(P59/N59,0)</f>
        <v>0.396702002355713</v>
      </c>
    </row>
    <row r="60" customFormat="false" ht="15" hidden="false" customHeight="false" outlineLevel="0" collapsed="false">
      <c r="A60" s="8" t="s">
        <v>201</v>
      </c>
      <c r="B60" s="14" t="s">
        <v>134</v>
      </c>
      <c r="C60" s="8" t="str">
        <f aca="false">TEXT(B60,"mmm-yyyy")</f>
        <v>Mar-2025</v>
      </c>
      <c r="D60" s="8" t="s">
        <v>61</v>
      </c>
      <c r="E60" s="8" t="s">
        <v>114</v>
      </c>
      <c r="F60" s="8" t="s">
        <v>73</v>
      </c>
      <c r="G60" s="8" t="s">
        <v>47</v>
      </c>
      <c r="H60" s="8" t="n">
        <v>159</v>
      </c>
      <c r="I60" s="9" t="n">
        <v>13.59</v>
      </c>
      <c r="J60" s="9" t="n">
        <v>30.46</v>
      </c>
      <c r="K60" s="15" t="n">
        <v>0.15</v>
      </c>
      <c r="L60" s="9" t="n">
        <f aca="false">H60*J60</f>
        <v>4843.14</v>
      </c>
      <c r="M60" s="9" t="n">
        <f aca="false">L60*K60</f>
        <v>726.471</v>
      </c>
      <c r="N60" s="9" t="n">
        <f aca="false">L60-M60</f>
        <v>4116.669</v>
      </c>
      <c r="O60" s="9" t="n">
        <f aca="false">H60*I60</f>
        <v>2160.81</v>
      </c>
      <c r="P60" s="9" t="n">
        <f aca="false">N60-O60</f>
        <v>1955.859</v>
      </c>
      <c r="Q60" s="15" t="n">
        <f aca="false">IFERROR(P60/N60,0)</f>
        <v>0.475107180101193</v>
      </c>
    </row>
    <row r="61" customFormat="false" ht="15" hidden="false" customHeight="false" outlineLevel="0" collapsed="false">
      <c r="A61" s="11" t="s">
        <v>133</v>
      </c>
      <c r="B61" s="16" t="s">
        <v>134</v>
      </c>
      <c r="C61" s="11" t="str">
        <f aca="false">TEXT(B61,"mmm-yyyy")</f>
        <v>Mar-2025</v>
      </c>
      <c r="D61" s="11" t="s">
        <v>40</v>
      </c>
      <c r="E61" s="11" t="s">
        <v>51</v>
      </c>
      <c r="F61" s="11" t="s">
        <v>52</v>
      </c>
      <c r="G61" s="11" t="s">
        <v>69</v>
      </c>
      <c r="H61" s="11" t="n">
        <v>212</v>
      </c>
      <c r="I61" s="12" t="n">
        <v>68.78</v>
      </c>
      <c r="J61" s="12" t="n">
        <v>117.38</v>
      </c>
      <c r="K61" s="17" t="n">
        <v>0.05</v>
      </c>
      <c r="L61" s="12" t="n">
        <f aca="false">H61*J61</f>
        <v>24884.56</v>
      </c>
      <c r="M61" s="12" t="n">
        <f aca="false">L61*K61</f>
        <v>1244.228</v>
      </c>
      <c r="N61" s="12" t="n">
        <f aca="false">L61-M61</f>
        <v>23640.332</v>
      </c>
      <c r="O61" s="12" t="n">
        <f aca="false">H61*I61</f>
        <v>14581.36</v>
      </c>
      <c r="P61" s="12" t="n">
        <f aca="false">N61-O61</f>
        <v>9058.972</v>
      </c>
      <c r="Q61" s="17" t="n">
        <f aca="false">IFERROR(P61/N61,0)</f>
        <v>0.383199863690578</v>
      </c>
    </row>
    <row r="62" customFormat="false" ht="15" hidden="false" customHeight="false" outlineLevel="0" collapsed="false">
      <c r="A62" s="8" t="s">
        <v>300</v>
      </c>
      <c r="B62" s="14" t="s">
        <v>301</v>
      </c>
      <c r="C62" s="8" t="str">
        <f aca="false">TEXT(B62,"mmm-yyyy")</f>
        <v>Mar-2025</v>
      </c>
      <c r="D62" s="8" t="s">
        <v>40</v>
      </c>
      <c r="E62" s="8" t="s">
        <v>41</v>
      </c>
      <c r="F62" s="8" t="s">
        <v>42</v>
      </c>
      <c r="G62" s="8" t="s">
        <v>47</v>
      </c>
      <c r="H62" s="8" t="n">
        <v>145</v>
      </c>
      <c r="I62" s="9" t="n">
        <v>21.71</v>
      </c>
      <c r="J62" s="9" t="n">
        <v>44.66</v>
      </c>
      <c r="K62" s="15" t="n">
        <v>0</v>
      </c>
      <c r="L62" s="9" t="n">
        <f aca="false">H62*J62</f>
        <v>6475.7</v>
      </c>
      <c r="M62" s="9" t="n">
        <f aca="false">L62*K62</f>
        <v>0</v>
      </c>
      <c r="N62" s="9" t="n">
        <f aca="false">L62-M62</f>
        <v>6475.7</v>
      </c>
      <c r="O62" s="9" t="n">
        <f aca="false">H62*I62</f>
        <v>3147.95</v>
      </c>
      <c r="P62" s="9" t="n">
        <f aca="false">N62-O62</f>
        <v>3327.75</v>
      </c>
      <c r="Q62" s="15" t="n">
        <f aca="false">IFERROR(P62/N62,0)</f>
        <v>0.513882669055083</v>
      </c>
    </row>
    <row r="63" customFormat="false" ht="15" hidden="false" customHeight="false" outlineLevel="0" collapsed="false">
      <c r="A63" s="11" t="s">
        <v>238</v>
      </c>
      <c r="B63" s="16" t="s">
        <v>239</v>
      </c>
      <c r="C63" s="11" t="str">
        <f aca="false">TEXT(B63,"mmm-yyyy")</f>
        <v>Mar-2025</v>
      </c>
      <c r="D63" s="11" t="s">
        <v>61</v>
      </c>
      <c r="E63" s="11" t="s">
        <v>41</v>
      </c>
      <c r="F63" s="11" t="s">
        <v>42</v>
      </c>
      <c r="G63" s="11" t="s">
        <v>43</v>
      </c>
      <c r="H63" s="11" t="n">
        <v>215</v>
      </c>
      <c r="I63" s="12" t="n">
        <v>22.44</v>
      </c>
      <c r="J63" s="12" t="n">
        <v>43.46</v>
      </c>
      <c r="K63" s="17" t="n">
        <v>0.05</v>
      </c>
      <c r="L63" s="12" t="n">
        <f aca="false">H63*J63</f>
        <v>9343.9</v>
      </c>
      <c r="M63" s="12" t="n">
        <f aca="false">L63*K63</f>
        <v>467.195</v>
      </c>
      <c r="N63" s="12" t="n">
        <f aca="false">L63-M63</f>
        <v>8876.705</v>
      </c>
      <c r="O63" s="12" t="n">
        <f aca="false">H63*I63</f>
        <v>4824.6</v>
      </c>
      <c r="P63" s="12" t="n">
        <f aca="false">N63-O63</f>
        <v>4052.105</v>
      </c>
      <c r="Q63" s="17" t="n">
        <f aca="false">IFERROR(P63/N63,0)</f>
        <v>0.456487514229661</v>
      </c>
    </row>
    <row r="64" customFormat="false" ht="15" hidden="false" customHeight="false" outlineLevel="0" collapsed="false">
      <c r="A64" s="8" t="s">
        <v>183</v>
      </c>
      <c r="B64" s="14" t="s">
        <v>184</v>
      </c>
      <c r="C64" s="8" t="str">
        <f aca="false">TEXT(B64,"mmm-yyyy")</f>
        <v>Apr-2025</v>
      </c>
      <c r="D64" s="8" t="s">
        <v>46</v>
      </c>
      <c r="E64" s="8" t="s">
        <v>56</v>
      </c>
      <c r="F64" s="8" t="s">
        <v>52</v>
      </c>
      <c r="G64" s="8" t="s">
        <v>69</v>
      </c>
      <c r="H64" s="8" t="n">
        <v>244</v>
      </c>
      <c r="I64" s="9" t="n">
        <v>50.96</v>
      </c>
      <c r="J64" s="9" t="n">
        <v>83.72</v>
      </c>
      <c r="K64" s="15" t="n">
        <v>0</v>
      </c>
      <c r="L64" s="9" t="n">
        <f aca="false">H64*J64</f>
        <v>20427.68</v>
      </c>
      <c r="M64" s="9" t="n">
        <f aca="false">L64*K64</f>
        <v>0</v>
      </c>
      <c r="N64" s="9" t="n">
        <f aca="false">L64-M64</f>
        <v>20427.68</v>
      </c>
      <c r="O64" s="9" t="n">
        <f aca="false">H64*I64</f>
        <v>12434.24</v>
      </c>
      <c r="P64" s="9" t="n">
        <f aca="false">N64-O64</f>
        <v>7993.44</v>
      </c>
      <c r="Q64" s="15" t="n">
        <f aca="false">IFERROR(P64/N64,0)</f>
        <v>0.391304347826087</v>
      </c>
    </row>
    <row r="65" customFormat="false" ht="15" hidden="false" customHeight="false" outlineLevel="0" collapsed="false">
      <c r="A65" s="11" t="s">
        <v>224</v>
      </c>
      <c r="B65" s="16" t="s">
        <v>184</v>
      </c>
      <c r="C65" s="11" t="str">
        <f aca="false">TEXT(B65,"mmm-yyyy")</f>
        <v>Apr-2025</v>
      </c>
      <c r="D65" s="11" t="s">
        <v>46</v>
      </c>
      <c r="E65" s="11" t="s">
        <v>114</v>
      </c>
      <c r="F65" s="11" t="s">
        <v>73</v>
      </c>
      <c r="G65" s="11" t="s">
        <v>47</v>
      </c>
      <c r="H65" s="11" t="n">
        <v>199</v>
      </c>
      <c r="I65" s="12" t="n">
        <v>14.4</v>
      </c>
      <c r="J65" s="12" t="n">
        <v>29.7</v>
      </c>
      <c r="K65" s="17" t="n">
        <v>0.15</v>
      </c>
      <c r="L65" s="12" t="n">
        <f aca="false">H65*J65</f>
        <v>5910.3</v>
      </c>
      <c r="M65" s="12" t="n">
        <f aca="false">L65*K65</f>
        <v>886.545</v>
      </c>
      <c r="N65" s="12" t="n">
        <f aca="false">L65-M65</f>
        <v>5023.755</v>
      </c>
      <c r="O65" s="12" t="n">
        <f aca="false">H65*I65</f>
        <v>2865.6</v>
      </c>
      <c r="P65" s="12" t="n">
        <f aca="false">N65-O65</f>
        <v>2158.155</v>
      </c>
      <c r="Q65" s="17" t="n">
        <f aca="false">IFERROR(P65/N65,0)</f>
        <v>0.429590017825312</v>
      </c>
    </row>
    <row r="66" customFormat="false" ht="15" hidden="false" customHeight="false" outlineLevel="0" collapsed="false">
      <c r="A66" s="8" t="s">
        <v>165</v>
      </c>
      <c r="B66" s="14" t="s">
        <v>166</v>
      </c>
      <c r="C66" s="8" t="str">
        <f aca="false">TEXT(B66,"mmm-yyyy")</f>
        <v>Apr-2025</v>
      </c>
      <c r="D66" s="8" t="s">
        <v>61</v>
      </c>
      <c r="E66" s="8" t="s">
        <v>56</v>
      </c>
      <c r="F66" s="8" t="s">
        <v>52</v>
      </c>
      <c r="G66" s="8" t="s">
        <v>47</v>
      </c>
      <c r="H66" s="8" t="n">
        <v>205</v>
      </c>
      <c r="I66" s="9" t="n">
        <v>51.2</v>
      </c>
      <c r="J66" s="9" t="n">
        <v>81.73</v>
      </c>
      <c r="K66" s="15" t="n">
        <v>0</v>
      </c>
      <c r="L66" s="9" t="n">
        <f aca="false">H66*J66</f>
        <v>16754.65</v>
      </c>
      <c r="M66" s="9" t="n">
        <f aca="false">L66*K66</f>
        <v>0</v>
      </c>
      <c r="N66" s="9" t="n">
        <f aca="false">L66-M66</f>
        <v>16754.65</v>
      </c>
      <c r="O66" s="9" t="n">
        <f aca="false">H66*I66</f>
        <v>10496</v>
      </c>
      <c r="P66" s="9" t="n">
        <f aca="false">N66-O66</f>
        <v>6258.65</v>
      </c>
      <c r="Q66" s="15" t="n">
        <f aca="false">IFERROR(P66/N66,0)</f>
        <v>0.37354704514866</v>
      </c>
    </row>
    <row r="67" customFormat="false" ht="15" hidden="false" customHeight="false" outlineLevel="0" collapsed="false">
      <c r="A67" s="11" t="s">
        <v>455</v>
      </c>
      <c r="B67" s="16" t="s">
        <v>456</v>
      </c>
      <c r="C67" s="11" t="str">
        <f aca="false">TEXT(B67,"mmm-yyyy")</f>
        <v>Apr-2025</v>
      </c>
      <c r="D67" s="11" t="s">
        <v>40</v>
      </c>
      <c r="E67" s="11" t="s">
        <v>72</v>
      </c>
      <c r="F67" s="11" t="s">
        <v>73</v>
      </c>
      <c r="G67" s="11" t="s">
        <v>43</v>
      </c>
      <c r="H67" s="11" t="n">
        <v>144</v>
      </c>
      <c r="I67" s="12" t="n">
        <v>28.77</v>
      </c>
      <c r="J67" s="12" t="n">
        <v>61.76</v>
      </c>
      <c r="K67" s="17" t="n">
        <v>0</v>
      </c>
      <c r="L67" s="12" t="n">
        <f aca="false">H67*J67</f>
        <v>8893.44</v>
      </c>
      <c r="M67" s="12" t="n">
        <f aca="false">L67*K67</f>
        <v>0</v>
      </c>
      <c r="N67" s="12" t="n">
        <f aca="false">L67-M67</f>
        <v>8893.44</v>
      </c>
      <c r="O67" s="12" t="n">
        <f aca="false">H67*I67</f>
        <v>4142.88</v>
      </c>
      <c r="P67" s="12" t="n">
        <f aca="false">N67-O67</f>
        <v>4750.56</v>
      </c>
      <c r="Q67" s="17" t="n">
        <f aca="false">IFERROR(P67/N67,0)</f>
        <v>0.534164507772021</v>
      </c>
    </row>
    <row r="68" customFormat="false" ht="15" hidden="false" customHeight="false" outlineLevel="0" collapsed="false">
      <c r="A68" s="8" t="s">
        <v>347</v>
      </c>
      <c r="B68" s="14" t="s">
        <v>348</v>
      </c>
      <c r="C68" s="8" t="str">
        <f aca="false">TEXT(B68,"mmm-yyyy")</f>
        <v>Apr-2025</v>
      </c>
      <c r="D68" s="8" t="s">
        <v>55</v>
      </c>
      <c r="E68" s="8" t="s">
        <v>72</v>
      </c>
      <c r="F68" s="8" t="s">
        <v>73</v>
      </c>
      <c r="G68" s="8" t="s">
        <v>47</v>
      </c>
      <c r="H68" s="8" t="n">
        <v>314</v>
      </c>
      <c r="I68" s="9" t="n">
        <v>28.72</v>
      </c>
      <c r="J68" s="9" t="n">
        <v>58.99</v>
      </c>
      <c r="K68" s="15" t="n">
        <v>0</v>
      </c>
      <c r="L68" s="9" t="n">
        <f aca="false">H68*J68</f>
        <v>18522.86</v>
      </c>
      <c r="M68" s="9" t="n">
        <f aca="false">L68*K68</f>
        <v>0</v>
      </c>
      <c r="N68" s="9" t="n">
        <f aca="false">L68-M68</f>
        <v>18522.86</v>
      </c>
      <c r="O68" s="9" t="n">
        <f aca="false">H68*I68</f>
        <v>9018.08</v>
      </c>
      <c r="P68" s="9" t="n">
        <f aca="false">N68-O68</f>
        <v>9504.78</v>
      </c>
      <c r="Q68" s="15" t="n">
        <f aca="false">IFERROR(P68/N68,0)</f>
        <v>0.513137819969486</v>
      </c>
    </row>
    <row r="69" customFormat="false" ht="15" hidden="false" customHeight="false" outlineLevel="0" collapsed="false">
      <c r="A69" s="11" t="s">
        <v>137</v>
      </c>
      <c r="B69" s="16" t="s">
        <v>138</v>
      </c>
      <c r="C69" s="11" t="str">
        <f aca="false">TEXT(B69,"mmm-yyyy")</f>
        <v>Apr-2025</v>
      </c>
      <c r="D69" s="11" t="s">
        <v>46</v>
      </c>
      <c r="E69" s="11" t="s">
        <v>51</v>
      </c>
      <c r="F69" s="11" t="s">
        <v>52</v>
      </c>
      <c r="G69" s="11" t="s">
        <v>47</v>
      </c>
      <c r="H69" s="11" t="n">
        <v>230</v>
      </c>
      <c r="I69" s="12" t="n">
        <v>68.35</v>
      </c>
      <c r="J69" s="12" t="n">
        <v>123.45</v>
      </c>
      <c r="K69" s="17" t="n">
        <v>0</v>
      </c>
      <c r="L69" s="12" t="n">
        <f aca="false">H69*J69</f>
        <v>28393.5</v>
      </c>
      <c r="M69" s="12" t="n">
        <f aca="false">L69*K69</f>
        <v>0</v>
      </c>
      <c r="N69" s="12" t="n">
        <f aca="false">L69-M69</f>
        <v>28393.5</v>
      </c>
      <c r="O69" s="12" t="n">
        <f aca="false">H69*I69</f>
        <v>15720.5</v>
      </c>
      <c r="P69" s="12" t="n">
        <f aca="false">N69-O69</f>
        <v>12673</v>
      </c>
      <c r="Q69" s="17" t="n">
        <f aca="false">IFERROR(P69/N69,0)</f>
        <v>0.446334548400162</v>
      </c>
    </row>
    <row r="70" customFormat="false" ht="15" hidden="false" customHeight="false" outlineLevel="0" collapsed="false">
      <c r="A70" s="8" t="s">
        <v>285</v>
      </c>
      <c r="B70" s="14" t="s">
        <v>286</v>
      </c>
      <c r="C70" s="8" t="str">
        <f aca="false">TEXT(B70,"mmm-yyyy")</f>
        <v>Apr-2025</v>
      </c>
      <c r="D70" s="8" t="s">
        <v>46</v>
      </c>
      <c r="E70" s="8" t="s">
        <v>72</v>
      </c>
      <c r="F70" s="8" t="s">
        <v>73</v>
      </c>
      <c r="G70" s="8" t="s">
        <v>43</v>
      </c>
      <c r="H70" s="8" t="n">
        <v>277</v>
      </c>
      <c r="I70" s="9" t="n">
        <v>28.79</v>
      </c>
      <c r="J70" s="9" t="n">
        <v>57.69</v>
      </c>
      <c r="K70" s="15" t="n">
        <v>0</v>
      </c>
      <c r="L70" s="9" t="n">
        <f aca="false">H70*J70</f>
        <v>15980.13</v>
      </c>
      <c r="M70" s="9" t="n">
        <f aca="false">L70*K70</f>
        <v>0</v>
      </c>
      <c r="N70" s="9" t="n">
        <f aca="false">L70-M70</f>
        <v>15980.13</v>
      </c>
      <c r="O70" s="9" t="n">
        <f aca="false">H70*I70</f>
        <v>7974.83</v>
      </c>
      <c r="P70" s="9" t="n">
        <f aca="false">N70-O70</f>
        <v>8005.3</v>
      </c>
      <c r="Q70" s="15" t="n">
        <f aca="false">IFERROR(P70/N70,0)</f>
        <v>0.500953371468192</v>
      </c>
    </row>
    <row r="71" customFormat="false" ht="15" hidden="false" customHeight="false" outlineLevel="0" collapsed="false">
      <c r="A71" s="11" t="s">
        <v>443</v>
      </c>
      <c r="B71" s="16" t="s">
        <v>444</v>
      </c>
      <c r="C71" s="11" t="str">
        <f aca="false">TEXT(B71,"mmm-yyyy")</f>
        <v>Apr-2025</v>
      </c>
      <c r="D71" s="11" t="s">
        <v>61</v>
      </c>
      <c r="E71" s="11" t="s">
        <v>114</v>
      </c>
      <c r="F71" s="11" t="s">
        <v>73</v>
      </c>
      <c r="G71" s="11" t="s">
        <v>43</v>
      </c>
      <c r="H71" s="11" t="n">
        <v>189</v>
      </c>
      <c r="I71" s="12" t="n">
        <v>14.14</v>
      </c>
      <c r="J71" s="12" t="n">
        <v>28.71</v>
      </c>
      <c r="K71" s="17" t="n">
        <v>0.05</v>
      </c>
      <c r="L71" s="12" t="n">
        <f aca="false">H71*J71</f>
        <v>5426.19</v>
      </c>
      <c r="M71" s="12" t="n">
        <f aca="false">L71*K71</f>
        <v>271.3095</v>
      </c>
      <c r="N71" s="12" t="n">
        <f aca="false">L71-M71</f>
        <v>5154.8805</v>
      </c>
      <c r="O71" s="12" t="n">
        <f aca="false">H71*I71</f>
        <v>2672.46</v>
      </c>
      <c r="P71" s="12" t="n">
        <f aca="false">N71-O71</f>
        <v>2482.4205</v>
      </c>
      <c r="Q71" s="17" t="n">
        <f aca="false">IFERROR(P71/N71,0)</f>
        <v>0.481567031476287</v>
      </c>
    </row>
    <row r="72" customFormat="false" ht="15" hidden="false" customHeight="false" outlineLevel="0" collapsed="false">
      <c r="A72" s="8" t="s">
        <v>126</v>
      </c>
      <c r="B72" s="14" t="s">
        <v>127</v>
      </c>
      <c r="C72" s="8" t="str">
        <f aca="false">TEXT(B72,"mmm-yyyy")</f>
        <v>Apr-2025</v>
      </c>
      <c r="D72" s="8" t="s">
        <v>61</v>
      </c>
      <c r="E72" s="8" t="s">
        <v>72</v>
      </c>
      <c r="F72" s="8" t="s">
        <v>73</v>
      </c>
      <c r="G72" s="8" t="s">
        <v>47</v>
      </c>
      <c r="H72" s="8" t="n">
        <v>180</v>
      </c>
      <c r="I72" s="9" t="n">
        <v>28.01</v>
      </c>
      <c r="J72" s="9" t="n">
        <v>62.4</v>
      </c>
      <c r="K72" s="15" t="n">
        <v>0.1</v>
      </c>
      <c r="L72" s="9" t="n">
        <f aca="false">H72*J72</f>
        <v>11232</v>
      </c>
      <c r="M72" s="9" t="n">
        <f aca="false">L72*K72</f>
        <v>1123.2</v>
      </c>
      <c r="N72" s="9" t="n">
        <f aca="false">L72-M72</f>
        <v>10108.8</v>
      </c>
      <c r="O72" s="9" t="n">
        <f aca="false">H72*I72</f>
        <v>5041.8</v>
      </c>
      <c r="P72" s="9" t="n">
        <f aca="false">N72-O72</f>
        <v>5067</v>
      </c>
      <c r="Q72" s="15" t="n">
        <f aca="false">IFERROR(P72/N72,0)</f>
        <v>0.501246438746439</v>
      </c>
    </row>
    <row r="73" customFormat="false" ht="15" hidden="false" customHeight="false" outlineLevel="0" collapsed="false">
      <c r="A73" s="11" t="s">
        <v>375</v>
      </c>
      <c r="B73" s="16" t="s">
        <v>376</v>
      </c>
      <c r="C73" s="11" t="str">
        <f aca="false">TEXT(B73,"mmm-yyyy")</f>
        <v>Apr-2025</v>
      </c>
      <c r="D73" s="11" t="s">
        <v>61</v>
      </c>
      <c r="E73" s="11" t="s">
        <v>41</v>
      </c>
      <c r="F73" s="11" t="s">
        <v>42</v>
      </c>
      <c r="G73" s="11" t="s">
        <v>47</v>
      </c>
      <c r="H73" s="11" t="n">
        <v>190</v>
      </c>
      <c r="I73" s="12" t="n">
        <v>22.05</v>
      </c>
      <c r="J73" s="12" t="n">
        <v>46.92</v>
      </c>
      <c r="K73" s="17" t="n">
        <v>0</v>
      </c>
      <c r="L73" s="12" t="n">
        <f aca="false">H73*J73</f>
        <v>8914.8</v>
      </c>
      <c r="M73" s="12" t="n">
        <f aca="false">L73*K73</f>
        <v>0</v>
      </c>
      <c r="N73" s="12" t="n">
        <f aca="false">L73-M73</f>
        <v>8914.8</v>
      </c>
      <c r="O73" s="12" t="n">
        <f aca="false">H73*I73</f>
        <v>4189.5</v>
      </c>
      <c r="P73" s="12" t="n">
        <f aca="false">N73-O73</f>
        <v>4725.3</v>
      </c>
      <c r="Q73" s="17" t="n">
        <f aca="false">IFERROR(P73/N73,0)</f>
        <v>0.530051150895141</v>
      </c>
    </row>
    <row r="74" customFormat="false" ht="15" hidden="false" customHeight="false" outlineLevel="0" collapsed="false">
      <c r="A74" s="8" t="s">
        <v>392</v>
      </c>
      <c r="B74" s="14" t="s">
        <v>376</v>
      </c>
      <c r="C74" s="8" t="str">
        <f aca="false">TEXT(B74,"mmm-yyyy")</f>
        <v>Apr-2025</v>
      </c>
      <c r="D74" s="8" t="s">
        <v>55</v>
      </c>
      <c r="E74" s="8" t="s">
        <v>114</v>
      </c>
      <c r="F74" s="8" t="s">
        <v>73</v>
      </c>
      <c r="G74" s="8" t="s">
        <v>69</v>
      </c>
      <c r="H74" s="8" t="n">
        <v>255</v>
      </c>
      <c r="I74" s="9" t="n">
        <v>14.36</v>
      </c>
      <c r="J74" s="9" t="n">
        <v>28.96</v>
      </c>
      <c r="K74" s="15" t="n">
        <v>0</v>
      </c>
      <c r="L74" s="9" t="n">
        <f aca="false">H74*J74</f>
        <v>7384.8</v>
      </c>
      <c r="M74" s="9" t="n">
        <f aca="false">L74*K74</f>
        <v>0</v>
      </c>
      <c r="N74" s="9" t="n">
        <f aca="false">L74-M74</f>
        <v>7384.8</v>
      </c>
      <c r="O74" s="9" t="n">
        <f aca="false">H74*I74</f>
        <v>3661.8</v>
      </c>
      <c r="P74" s="9" t="n">
        <f aca="false">N74-O74</f>
        <v>3723</v>
      </c>
      <c r="Q74" s="15" t="n">
        <f aca="false">IFERROR(P74/N74,0)</f>
        <v>0.50414364640884</v>
      </c>
    </row>
    <row r="75" customFormat="false" ht="15" hidden="false" customHeight="false" outlineLevel="0" collapsed="false">
      <c r="A75" s="11" t="s">
        <v>230</v>
      </c>
      <c r="B75" s="16" t="s">
        <v>231</v>
      </c>
      <c r="C75" s="11" t="str">
        <f aca="false">TEXT(B75,"mmm-yyyy")</f>
        <v>Apr-2025</v>
      </c>
      <c r="D75" s="11" t="s">
        <v>40</v>
      </c>
      <c r="E75" s="11" t="s">
        <v>114</v>
      </c>
      <c r="F75" s="11" t="s">
        <v>73</v>
      </c>
      <c r="G75" s="11" t="s">
        <v>43</v>
      </c>
      <c r="H75" s="11" t="n">
        <v>122</v>
      </c>
      <c r="I75" s="12" t="n">
        <v>13.95</v>
      </c>
      <c r="J75" s="12" t="n">
        <v>29.89</v>
      </c>
      <c r="K75" s="17" t="n">
        <v>0</v>
      </c>
      <c r="L75" s="12" t="n">
        <f aca="false">H75*J75</f>
        <v>3646.58</v>
      </c>
      <c r="M75" s="12" t="n">
        <f aca="false">L75*K75</f>
        <v>0</v>
      </c>
      <c r="N75" s="12" t="n">
        <f aca="false">L75-M75</f>
        <v>3646.58</v>
      </c>
      <c r="O75" s="12" t="n">
        <f aca="false">H75*I75</f>
        <v>1701.9</v>
      </c>
      <c r="P75" s="12" t="n">
        <f aca="false">N75-O75</f>
        <v>1944.68</v>
      </c>
      <c r="Q75" s="17" t="n">
        <f aca="false">IFERROR(P75/N75,0)</f>
        <v>0.533288725326196</v>
      </c>
    </row>
    <row r="76" customFormat="false" ht="15" hidden="false" customHeight="false" outlineLevel="0" collapsed="false">
      <c r="A76" s="8" t="s">
        <v>463</v>
      </c>
      <c r="B76" s="14" t="s">
        <v>464</v>
      </c>
      <c r="C76" s="8" t="str">
        <f aca="false">TEXT(B76,"mmm-yyyy")</f>
        <v>Apr-2025</v>
      </c>
      <c r="D76" s="8" t="s">
        <v>61</v>
      </c>
      <c r="E76" s="8" t="s">
        <v>51</v>
      </c>
      <c r="F76" s="8" t="s">
        <v>52</v>
      </c>
      <c r="G76" s="8" t="s">
        <v>43</v>
      </c>
      <c r="H76" s="8" t="n">
        <v>247</v>
      </c>
      <c r="I76" s="9" t="n">
        <v>71.2</v>
      </c>
      <c r="J76" s="9" t="n">
        <v>118.15</v>
      </c>
      <c r="K76" s="15" t="n">
        <v>0.1</v>
      </c>
      <c r="L76" s="9" t="n">
        <f aca="false">H76*J76</f>
        <v>29183.05</v>
      </c>
      <c r="M76" s="9" t="n">
        <f aca="false">L76*K76</f>
        <v>2918.305</v>
      </c>
      <c r="N76" s="9" t="n">
        <f aca="false">L76-M76</f>
        <v>26264.745</v>
      </c>
      <c r="O76" s="9" t="n">
        <f aca="false">H76*I76</f>
        <v>17586.4</v>
      </c>
      <c r="P76" s="9" t="n">
        <f aca="false">N76-O76</f>
        <v>8678.345</v>
      </c>
      <c r="Q76" s="15" t="n">
        <f aca="false">IFERROR(P76/N76,0)</f>
        <v>0.330418018526355</v>
      </c>
    </row>
    <row r="77" customFormat="false" ht="15" hidden="false" customHeight="false" outlineLevel="0" collapsed="false">
      <c r="A77" s="11" t="s">
        <v>266</v>
      </c>
      <c r="B77" s="16" t="s">
        <v>267</v>
      </c>
      <c r="C77" s="11" t="str">
        <f aca="false">TEXT(B77,"mmm-yyyy")</f>
        <v>Apr-2025</v>
      </c>
      <c r="D77" s="11" t="s">
        <v>40</v>
      </c>
      <c r="E77" s="11" t="s">
        <v>56</v>
      </c>
      <c r="F77" s="11" t="s">
        <v>52</v>
      </c>
      <c r="G77" s="11" t="s">
        <v>47</v>
      </c>
      <c r="H77" s="11" t="n">
        <v>224</v>
      </c>
      <c r="I77" s="12" t="n">
        <v>50.35</v>
      </c>
      <c r="J77" s="12" t="n">
        <v>88.42</v>
      </c>
      <c r="K77" s="17" t="n">
        <v>0.05</v>
      </c>
      <c r="L77" s="12" t="n">
        <f aca="false">H77*J77</f>
        <v>19806.08</v>
      </c>
      <c r="M77" s="12" t="n">
        <f aca="false">L77*K77</f>
        <v>990.304</v>
      </c>
      <c r="N77" s="12" t="n">
        <f aca="false">L77-M77</f>
        <v>18815.776</v>
      </c>
      <c r="O77" s="12" t="n">
        <f aca="false">H77*I77</f>
        <v>11278.4</v>
      </c>
      <c r="P77" s="12" t="n">
        <f aca="false">N77-O77</f>
        <v>7537.376</v>
      </c>
      <c r="Q77" s="17" t="n">
        <f aca="false">IFERROR(P77/N77,0)</f>
        <v>0.400588102239312</v>
      </c>
    </row>
    <row r="78" customFormat="false" ht="15" hidden="false" customHeight="false" outlineLevel="0" collapsed="false">
      <c r="A78" s="8" t="s">
        <v>189</v>
      </c>
      <c r="B78" s="14" t="s">
        <v>190</v>
      </c>
      <c r="C78" s="8" t="str">
        <f aca="false">TEXT(B78,"mmm-yyyy")</f>
        <v>Apr-2025</v>
      </c>
      <c r="D78" s="8" t="s">
        <v>55</v>
      </c>
      <c r="E78" s="8" t="s">
        <v>56</v>
      </c>
      <c r="F78" s="8" t="s">
        <v>52</v>
      </c>
      <c r="G78" s="8" t="s">
        <v>69</v>
      </c>
      <c r="H78" s="8" t="n">
        <v>173</v>
      </c>
      <c r="I78" s="9" t="n">
        <v>48.62</v>
      </c>
      <c r="J78" s="9" t="n">
        <v>89.01</v>
      </c>
      <c r="K78" s="15" t="n">
        <v>0.05</v>
      </c>
      <c r="L78" s="9" t="n">
        <f aca="false">H78*J78</f>
        <v>15398.73</v>
      </c>
      <c r="M78" s="9" t="n">
        <f aca="false">L78*K78</f>
        <v>769.9365</v>
      </c>
      <c r="N78" s="9" t="n">
        <f aca="false">L78-M78</f>
        <v>14628.7935</v>
      </c>
      <c r="O78" s="9" t="n">
        <f aca="false">H78*I78</f>
        <v>8411.26</v>
      </c>
      <c r="P78" s="9" t="n">
        <f aca="false">N78-O78</f>
        <v>6217.5335</v>
      </c>
      <c r="Q78" s="15" t="n">
        <f aca="false">IFERROR(P78/N78,0)</f>
        <v>0.425020252011897</v>
      </c>
    </row>
    <row r="79" customFormat="false" ht="15" hidden="false" customHeight="false" outlineLevel="0" collapsed="false">
      <c r="A79" s="11" t="s">
        <v>292</v>
      </c>
      <c r="B79" s="16" t="s">
        <v>190</v>
      </c>
      <c r="C79" s="11" t="str">
        <f aca="false">TEXT(B79,"mmm-yyyy")</f>
        <v>Apr-2025</v>
      </c>
      <c r="D79" s="11" t="s">
        <v>40</v>
      </c>
      <c r="E79" s="11" t="s">
        <v>51</v>
      </c>
      <c r="F79" s="11" t="s">
        <v>52</v>
      </c>
      <c r="G79" s="11" t="s">
        <v>47</v>
      </c>
      <c r="H79" s="11" t="n">
        <v>154</v>
      </c>
      <c r="I79" s="12" t="n">
        <v>70.23</v>
      </c>
      <c r="J79" s="12" t="n">
        <v>122.37</v>
      </c>
      <c r="K79" s="17" t="n">
        <v>0</v>
      </c>
      <c r="L79" s="12" t="n">
        <f aca="false">H79*J79</f>
        <v>18844.98</v>
      </c>
      <c r="M79" s="12" t="n">
        <f aca="false">L79*K79</f>
        <v>0</v>
      </c>
      <c r="N79" s="12" t="n">
        <f aca="false">L79-M79</f>
        <v>18844.98</v>
      </c>
      <c r="O79" s="12" t="n">
        <f aca="false">H79*I79</f>
        <v>10815.42</v>
      </c>
      <c r="P79" s="12" t="n">
        <f aca="false">N79-O79</f>
        <v>8029.56</v>
      </c>
      <c r="Q79" s="17" t="n">
        <f aca="false">IFERROR(P79/N79,0)</f>
        <v>0.426084824711939</v>
      </c>
    </row>
    <row r="80" customFormat="false" ht="15" hidden="false" customHeight="false" outlineLevel="0" collapsed="false">
      <c r="A80" s="8" t="s">
        <v>110</v>
      </c>
      <c r="B80" s="14" t="s">
        <v>111</v>
      </c>
      <c r="C80" s="8" t="str">
        <f aca="false">TEXT(B80,"mmm-yyyy")</f>
        <v>Apr-2025</v>
      </c>
      <c r="D80" s="8" t="s">
        <v>55</v>
      </c>
      <c r="E80" s="8" t="s">
        <v>41</v>
      </c>
      <c r="F80" s="8" t="s">
        <v>42</v>
      </c>
      <c r="G80" s="8" t="s">
        <v>43</v>
      </c>
      <c r="H80" s="8" t="n">
        <v>231</v>
      </c>
      <c r="I80" s="9" t="n">
        <v>22.51</v>
      </c>
      <c r="J80" s="9" t="n">
        <v>46.26</v>
      </c>
      <c r="K80" s="15" t="n">
        <v>0.1</v>
      </c>
      <c r="L80" s="9" t="n">
        <f aca="false">H80*J80</f>
        <v>10686.06</v>
      </c>
      <c r="M80" s="9" t="n">
        <f aca="false">L80*K80</f>
        <v>1068.606</v>
      </c>
      <c r="N80" s="9" t="n">
        <f aca="false">L80-M80</f>
        <v>9617.454</v>
      </c>
      <c r="O80" s="9" t="n">
        <f aca="false">H80*I80</f>
        <v>5199.81</v>
      </c>
      <c r="P80" s="9" t="n">
        <f aca="false">N80-O80</f>
        <v>4417.644</v>
      </c>
      <c r="Q80" s="15" t="n">
        <f aca="false">IFERROR(P80/N80,0)</f>
        <v>0.459336119517702</v>
      </c>
    </row>
    <row r="81" customFormat="false" ht="15" hidden="false" customHeight="false" outlineLevel="0" collapsed="false">
      <c r="A81" s="11" t="s">
        <v>279</v>
      </c>
      <c r="B81" s="16" t="s">
        <v>280</v>
      </c>
      <c r="C81" s="11" t="str">
        <f aca="false">TEXT(B81,"mmm-yyyy")</f>
        <v>Apr-2025</v>
      </c>
      <c r="D81" s="11" t="s">
        <v>46</v>
      </c>
      <c r="E81" s="11" t="s">
        <v>41</v>
      </c>
      <c r="F81" s="11" t="s">
        <v>42</v>
      </c>
      <c r="G81" s="11" t="s">
        <v>69</v>
      </c>
      <c r="H81" s="11" t="n">
        <v>311</v>
      </c>
      <c r="I81" s="12" t="n">
        <v>21.87</v>
      </c>
      <c r="J81" s="12" t="n">
        <v>45.72</v>
      </c>
      <c r="K81" s="17" t="n">
        <v>0.05</v>
      </c>
      <c r="L81" s="12" t="n">
        <f aca="false">H81*J81</f>
        <v>14218.92</v>
      </c>
      <c r="M81" s="12" t="n">
        <f aca="false">L81*K81</f>
        <v>710.946</v>
      </c>
      <c r="N81" s="12" t="n">
        <f aca="false">L81-M81</f>
        <v>13507.974</v>
      </c>
      <c r="O81" s="12" t="n">
        <f aca="false">H81*I81</f>
        <v>6801.57</v>
      </c>
      <c r="P81" s="12" t="n">
        <f aca="false">N81-O81</f>
        <v>6706.404</v>
      </c>
      <c r="Q81" s="17" t="n">
        <f aca="false">IFERROR(P81/N81,0)</f>
        <v>0.49647741400746</v>
      </c>
    </row>
    <row r="82" customFormat="false" ht="15" hidden="false" customHeight="false" outlineLevel="0" collapsed="false">
      <c r="A82" s="8" t="s">
        <v>218</v>
      </c>
      <c r="B82" s="14" t="s">
        <v>219</v>
      </c>
      <c r="C82" s="8" t="str">
        <f aca="false">TEXT(B82,"mmm-yyyy")</f>
        <v>Apr-2025</v>
      </c>
      <c r="D82" s="8" t="s">
        <v>55</v>
      </c>
      <c r="E82" s="8" t="s">
        <v>51</v>
      </c>
      <c r="F82" s="8" t="s">
        <v>52</v>
      </c>
      <c r="G82" s="8" t="s">
        <v>47</v>
      </c>
      <c r="H82" s="8" t="n">
        <v>225</v>
      </c>
      <c r="I82" s="9" t="n">
        <v>68.44</v>
      </c>
      <c r="J82" s="9" t="n">
        <v>115.78</v>
      </c>
      <c r="K82" s="15" t="n">
        <v>0.05</v>
      </c>
      <c r="L82" s="9" t="n">
        <f aca="false">H82*J82</f>
        <v>26050.5</v>
      </c>
      <c r="M82" s="9" t="n">
        <f aca="false">L82*K82</f>
        <v>1302.525</v>
      </c>
      <c r="N82" s="9" t="n">
        <f aca="false">L82-M82</f>
        <v>24747.975</v>
      </c>
      <c r="O82" s="9" t="n">
        <f aca="false">H82*I82</f>
        <v>15399</v>
      </c>
      <c r="P82" s="9" t="n">
        <f aca="false">N82-O82</f>
        <v>9348.975</v>
      </c>
      <c r="Q82" s="15" t="n">
        <f aca="false">IFERROR(P82/N82,0)</f>
        <v>0.377767271867698</v>
      </c>
    </row>
    <row r="83" customFormat="false" ht="15" hidden="false" customHeight="false" outlineLevel="0" collapsed="false">
      <c r="A83" s="11" t="s">
        <v>467</v>
      </c>
      <c r="B83" s="16" t="s">
        <v>219</v>
      </c>
      <c r="C83" s="11" t="str">
        <f aca="false">TEXT(B83,"mmm-yyyy")</f>
        <v>Apr-2025</v>
      </c>
      <c r="D83" s="11" t="s">
        <v>40</v>
      </c>
      <c r="E83" s="11" t="s">
        <v>41</v>
      </c>
      <c r="F83" s="11" t="s">
        <v>42</v>
      </c>
      <c r="G83" s="11" t="s">
        <v>47</v>
      </c>
      <c r="H83" s="11" t="n">
        <v>150</v>
      </c>
      <c r="I83" s="12" t="n">
        <v>21.74</v>
      </c>
      <c r="J83" s="12" t="n">
        <v>46.5</v>
      </c>
      <c r="K83" s="17" t="n">
        <v>0</v>
      </c>
      <c r="L83" s="12" t="n">
        <f aca="false">H83*J83</f>
        <v>6975</v>
      </c>
      <c r="M83" s="12" t="n">
        <f aca="false">L83*K83</f>
        <v>0</v>
      </c>
      <c r="N83" s="12" t="n">
        <f aca="false">L83-M83</f>
        <v>6975</v>
      </c>
      <c r="O83" s="12" t="n">
        <f aca="false">H83*I83</f>
        <v>3261</v>
      </c>
      <c r="P83" s="12" t="n">
        <f aca="false">N83-O83</f>
        <v>3714</v>
      </c>
      <c r="Q83" s="17" t="n">
        <f aca="false">IFERROR(P83/N83,0)</f>
        <v>0.53247311827957</v>
      </c>
    </row>
    <row r="84" customFormat="false" ht="15" hidden="false" customHeight="false" outlineLevel="0" collapsed="false">
      <c r="A84" s="8" t="s">
        <v>207</v>
      </c>
      <c r="B84" s="14" t="s">
        <v>208</v>
      </c>
      <c r="C84" s="8" t="str">
        <f aca="false">TEXT(B84,"mmm-yyyy")</f>
        <v>May-2025</v>
      </c>
      <c r="D84" s="8" t="s">
        <v>61</v>
      </c>
      <c r="E84" s="8" t="s">
        <v>56</v>
      </c>
      <c r="F84" s="8" t="s">
        <v>52</v>
      </c>
      <c r="G84" s="8" t="s">
        <v>69</v>
      </c>
      <c r="H84" s="8" t="n">
        <v>143</v>
      </c>
      <c r="I84" s="9" t="n">
        <v>49.51</v>
      </c>
      <c r="J84" s="9" t="n">
        <v>82.74</v>
      </c>
      <c r="K84" s="15" t="n">
        <v>0.15</v>
      </c>
      <c r="L84" s="9" t="n">
        <f aca="false">H84*J84</f>
        <v>11831.82</v>
      </c>
      <c r="M84" s="9" t="n">
        <f aca="false">L84*K84</f>
        <v>1774.773</v>
      </c>
      <c r="N84" s="9" t="n">
        <f aca="false">L84-M84</f>
        <v>10057.047</v>
      </c>
      <c r="O84" s="9" t="n">
        <f aca="false">H84*I84</f>
        <v>7079.93</v>
      </c>
      <c r="P84" s="9" t="n">
        <f aca="false">N84-O84</f>
        <v>2977.117</v>
      </c>
      <c r="Q84" s="15" t="n">
        <f aca="false">IFERROR(P84/N84,0)</f>
        <v>0.296022977719007</v>
      </c>
    </row>
    <row r="85" customFormat="false" ht="15" hidden="false" customHeight="false" outlineLevel="0" collapsed="false">
      <c r="A85" s="11" t="s">
        <v>356</v>
      </c>
      <c r="B85" s="16" t="s">
        <v>39</v>
      </c>
      <c r="C85" s="11" t="str">
        <f aca="false">TEXT(B85,"mmm-yyyy")</f>
        <v>May-2025</v>
      </c>
      <c r="D85" s="11" t="s">
        <v>55</v>
      </c>
      <c r="E85" s="11" t="s">
        <v>72</v>
      </c>
      <c r="F85" s="11" t="s">
        <v>73</v>
      </c>
      <c r="G85" s="11" t="s">
        <v>69</v>
      </c>
      <c r="H85" s="11" t="n">
        <v>195</v>
      </c>
      <c r="I85" s="12" t="n">
        <v>28.65</v>
      </c>
      <c r="J85" s="12" t="n">
        <v>62.16</v>
      </c>
      <c r="K85" s="17" t="n">
        <v>0.1</v>
      </c>
      <c r="L85" s="12" t="n">
        <f aca="false">H85*J85</f>
        <v>12121.2</v>
      </c>
      <c r="M85" s="12" t="n">
        <f aca="false">L85*K85</f>
        <v>1212.12</v>
      </c>
      <c r="N85" s="12" t="n">
        <f aca="false">L85-M85</f>
        <v>10909.08</v>
      </c>
      <c r="O85" s="12" t="n">
        <f aca="false">H85*I85</f>
        <v>5586.75</v>
      </c>
      <c r="P85" s="12" t="n">
        <f aca="false">N85-O85</f>
        <v>5322.33</v>
      </c>
      <c r="Q85" s="17" t="n">
        <f aca="false">IFERROR(P85/N85,0)</f>
        <v>0.487880737880738</v>
      </c>
    </row>
    <row r="86" customFormat="false" ht="15" hidden="false" customHeight="false" outlineLevel="0" collapsed="false">
      <c r="A86" s="8" t="s">
        <v>38</v>
      </c>
      <c r="B86" s="14" t="s">
        <v>39</v>
      </c>
      <c r="C86" s="8" t="str">
        <f aca="false">TEXT(B86,"mmm-yyyy")</f>
        <v>May-2025</v>
      </c>
      <c r="D86" s="8" t="s">
        <v>40</v>
      </c>
      <c r="E86" s="8" t="s">
        <v>41</v>
      </c>
      <c r="F86" s="8" t="s">
        <v>42</v>
      </c>
      <c r="G86" s="8" t="s">
        <v>43</v>
      </c>
      <c r="H86" s="8" t="n">
        <v>126</v>
      </c>
      <c r="I86" s="9" t="n">
        <v>21.85</v>
      </c>
      <c r="J86" s="9" t="n">
        <v>44.94</v>
      </c>
      <c r="K86" s="15" t="n">
        <v>0.1</v>
      </c>
      <c r="L86" s="9" t="n">
        <f aca="false">H86*J86</f>
        <v>5662.44</v>
      </c>
      <c r="M86" s="9" t="n">
        <f aca="false">L86*K86</f>
        <v>566.244</v>
      </c>
      <c r="N86" s="9" t="n">
        <f aca="false">L86-M86</f>
        <v>5096.196</v>
      </c>
      <c r="O86" s="9" t="n">
        <f aca="false">H86*I86</f>
        <v>2753.1</v>
      </c>
      <c r="P86" s="9" t="n">
        <f aca="false">N86-O86</f>
        <v>2343.096</v>
      </c>
      <c r="Q86" s="15" t="n">
        <f aca="false">IFERROR(P86/N86,0)</f>
        <v>0.459773525194086</v>
      </c>
    </row>
    <row r="87" customFormat="false" ht="15" hidden="false" customHeight="false" outlineLevel="0" collapsed="false">
      <c r="A87" s="11" t="s">
        <v>120</v>
      </c>
      <c r="B87" s="16" t="s">
        <v>121</v>
      </c>
      <c r="C87" s="11" t="str">
        <f aca="false">TEXT(B87,"mmm-yyyy")</f>
        <v>May-2025</v>
      </c>
      <c r="D87" s="11" t="s">
        <v>55</v>
      </c>
      <c r="E87" s="11" t="s">
        <v>56</v>
      </c>
      <c r="F87" s="11" t="s">
        <v>52</v>
      </c>
      <c r="G87" s="11" t="s">
        <v>69</v>
      </c>
      <c r="H87" s="11" t="n">
        <v>314</v>
      </c>
      <c r="I87" s="12" t="n">
        <v>49.1</v>
      </c>
      <c r="J87" s="12" t="n">
        <v>82.66</v>
      </c>
      <c r="K87" s="17" t="n">
        <v>0</v>
      </c>
      <c r="L87" s="12" t="n">
        <f aca="false">H87*J87</f>
        <v>25955.24</v>
      </c>
      <c r="M87" s="12" t="n">
        <f aca="false">L87*K87</f>
        <v>0</v>
      </c>
      <c r="N87" s="12" t="n">
        <f aca="false">L87-M87</f>
        <v>25955.24</v>
      </c>
      <c r="O87" s="12" t="n">
        <f aca="false">H87*I87</f>
        <v>15417.4</v>
      </c>
      <c r="P87" s="12" t="n">
        <f aca="false">N87-O87</f>
        <v>10537.84</v>
      </c>
      <c r="Q87" s="17" t="n">
        <f aca="false">IFERROR(P87/N87,0)</f>
        <v>0.406000483909993</v>
      </c>
    </row>
    <row r="88" customFormat="false" ht="15" hidden="false" customHeight="false" outlineLevel="0" collapsed="false">
      <c r="A88" s="8" t="s">
        <v>202</v>
      </c>
      <c r="B88" s="14" t="s">
        <v>203</v>
      </c>
      <c r="C88" s="8" t="str">
        <f aca="false">TEXT(B88,"mmm-yyyy")</f>
        <v>May-2025</v>
      </c>
      <c r="D88" s="8" t="s">
        <v>46</v>
      </c>
      <c r="E88" s="8" t="s">
        <v>72</v>
      </c>
      <c r="F88" s="8" t="s">
        <v>73</v>
      </c>
      <c r="G88" s="8" t="s">
        <v>43</v>
      </c>
      <c r="H88" s="8" t="n">
        <v>161</v>
      </c>
      <c r="I88" s="9" t="n">
        <v>27.6</v>
      </c>
      <c r="J88" s="9" t="n">
        <v>59.85</v>
      </c>
      <c r="K88" s="15" t="n">
        <v>0</v>
      </c>
      <c r="L88" s="9" t="n">
        <f aca="false">H88*J88</f>
        <v>9635.85</v>
      </c>
      <c r="M88" s="9" t="n">
        <f aca="false">L88*K88</f>
        <v>0</v>
      </c>
      <c r="N88" s="9" t="n">
        <f aca="false">L88-M88</f>
        <v>9635.85</v>
      </c>
      <c r="O88" s="9" t="n">
        <f aca="false">H88*I88</f>
        <v>4443.6</v>
      </c>
      <c r="P88" s="9" t="n">
        <f aca="false">N88-O88</f>
        <v>5192.25</v>
      </c>
      <c r="Q88" s="15" t="n">
        <f aca="false">IFERROR(P88/N88,0)</f>
        <v>0.538847117794486</v>
      </c>
    </row>
    <row r="89" customFormat="false" ht="15" hidden="false" customHeight="false" outlineLevel="0" collapsed="false">
      <c r="A89" s="11" t="s">
        <v>460</v>
      </c>
      <c r="B89" s="16" t="s">
        <v>155</v>
      </c>
      <c r="C89" s="11" t="str">
        <f aca="false">TEXT(B89,"mmm-yyyy")</f>
        <v>May-2025</v>
      </c>
      <c r="D89" s="11" t="s">
        <v>61</v>
      </c>
      <c r="E89" s="11" t="s">
        <v>51</v>
      </c>
      <c r="F89" s="11" t="s">
        <v>52</v>
      </c>
      <c r="G89" s="11" t="s">
        <v>43</v>
      </c>
      <c r="H89" s="11" t="n">
        <v>201</v>
      </c>
      <c r="I89" s="12" t="n">
        <v>69.05</v>
      </c>
      <c r="J89" s="12" t="n">
        <v>121.52</v>
      </c>
      <c r="K89" s="17" t="n">
        <v>0</v>
      </c>
      <c r="L89" s="12" t="n">
        <f aca="false">H89*J89</f>
        <v>24425.52</v>
      </c>
      <c r="M89" s="12" t="n">
        <f aca="false">L89*K89</f>
        <v>0</v>
      </c>
      <c r="N89" s="12" t="n">
        <f aca="false">L89-M89</f>
        <v>24425.52</v>
      </c>
      <c r="O89" s="12" t="n">
        <f aca="false">H89*I89</f>
        <v>13879.05</v>
      </c>
      <c r="P89" s="12" t="n">
        <f aca="false">N89-O89</f>
        <v>10546.47</v>
      </c>
      <c r="Q89" s="17" t="n">
        <f aca="false">IFERROR(P89/N89,0)</f>
        <v>0.43178077682686</v>
      </c>
    </row>
    <row r="90" customFormat="false" ht="15" hidden="false" customHeight="false" outlineLevel="0" collapsed="false">
      <c r="A90" s="8" t="s">
        <v>154</v>
      </c>
      <c r="B90" s="14" t="s">
        <v>155</v>
      </c>
      <c r="C90" s="8" t="str">
        <f aca="false">TEXT(B90,"mmm-yyyy")</f>
        <v>May-2025</v>
      </c>
      <c r="D90" s="8" t="s">
        <v>55</v>
      </c>
      <c r="E90" s="8" t="s">
        <v>51</v>
      </c>
      <c r="F90" s="8" t="s">
        <v>52</v>
      </c>
      <c r="G90" s="8" t="s">
        <v>43</v>
      </c>
      <c r="H90" s="8" t="n">
        <v>221</v>
      </c>
      <c r="I90" s="9" t="n">
        <v>68.29</v>
      </c>
      <c r="J90" s="9" t="n">
        <v>121.43</v>
      </c>
      <c r="K90" s="15" t="n">
        <v>0</v>
      </c>
      <c r="L90" s="9" t="n">
        <f aca="false">H90*J90</f>
        <v>26836.03</v>
      </c>
      <c r="M90" s="9" t="n">
        <f aca="false">L90*K90</f>
        <v>0</v>
      </c>
      <c r="N90" s="9" t="n">
        <f aca="false">L90-M90</f>
        <v>26836.03</v>
      </c>
      <c r="O90" s="9" t="n">
        <f aca="false">H90*I90</f>
        <v>15092.09</v>
      </c>
      <c r="P90" s="9" t="n">
        <f aca="false">N90-O90</f>
        <v>11743.94</v>
      </c>
      <c r="Q90" s="15" t="n">
        <f aca="false">IFERROR(P90/N90,0)</f>
        <v>0.437618380960224</v>
      </c>
    </row>
    <row r="91" customFormat="false" ht="15" hidden="false" customHeight="false" outlineLevel="0" collapsed="false">
      <c r="A91" s="11" t="s">
        <v>312</v>
      </c>
      <c r="B91" s="16" t="s">
        <v>313</v>
      </c>
      <c r="C91" s="11" t="str">
        <f aca="false">TEXT(B91,"mmm-yyyy")</f>
        <v>May-2025</v>
      </c>
      <c r="D91" s="11" t="s">
        <v>61</v>
      </c>
      <c r="E91" s="11" t="s">
        <v>41</v>
      </c>
      <c r="F91" s="11" t="s">
        <v>42</v>
      </c>
      <c r="G91" s="11" t="s">
        <v>47</v>
      </c>
      <c r="H91" s="11" t="n">
        <v>221</v>
      </c>
      <c r="I91" s="12" t="n">
        <v>21.62</v>
      </c>
      <c r="J91" s="12" t="n">
        <v>43.44</v>
      </c>
      <c r="K91" s="17" t="n">
        <v>0.1</v>
      </c>
      <c r="L91" s="12" t="n">
        <f aca="false">H91*J91</f>
        <v>9600.24</v>
      </c>
      <c r="M91" s="12" t="n">
        <f aca="false">L91*K91</f>
        <v>960.024</v>
      </c>
      <c r="N91" s="12" t="n">
        <f aca="false">L91-M91</f>
        <v>8640.216</v>
      </c>
      <c r="O91" s="12" t="n">
        <f aca="false">H91*I91</f>
        <v>4778.02</v>
      </c>
      <c r="P91" s="12" t="n">
        <f aca="false">N91-O91</f>
        <v>3862.196</v>
      </c>
      <c r="Q91" s="17" t="n">
        <f aca="false">IFERROR(P91/N91,0)</f>
        <v>0.447002250869654</v>
      </c>
    </row>
    <row r="92" customFormat="false" ht="15" hidden="false" customHeight="false" outlineLevel="0" collapsed="false">
      <c r="A92" s="8" t="s">
        <v>378</v>
      </c>
      <c r="B92" s="14" t="s">
        <v>379</v>
      </c>
      <c r="C92" s="8" t="str">
        <f aca="false">TEXT(B92,"mmm-yyyy")</f>
        <v>May-2025</v>
      </c>
      <c r="D92" s="8" t="s">
        <v>61</v>
      </c>
      <c r="E92" s="8" t="s">
        <v>114</v>
      </c>
      <c r="F92" s="8" t="s">
        <v>73</v>
      </c>
      <c r="G92" s="8" t="s">
        <v>47</v>
      </c>
      <c r="H92" s="8" t="n">
        <v>231</v>
      </c>
      <c r="I92" s="9" t="n">
        <v>13.93</v>
      </c>
      <c r="J92" s="9" t="n">
        <v>30.13</v>
      </c>
      <c r="K92" s="15" t="n">
        <v>0</v>
      </c>
      <c r="L92" s="9" t="n">
        <f aca="false">H92*J92</f>
        <v>6960.03</v>
      </c>
      <c r="M92" s="9" t="n">
        <f aca="false">L92*K92</f>
        <v>0</v>
      </c>
      <c r="N92" s="9" t="n">
        <f aca="false">L92-M92</f>
        <v>6960.03</v>
      </c>
      <c r="O92" s="9" t="n">
        <f aca="false">H92*I92</f>
        <v>3217.83</v>
      </c>
      <c r="P92" s="9" t="n">
        <f aca="false">N92-O92</f>
        <v>3742.2</v>
      </c>
      <c r="Q92" s="15" t="n">
        <f aca="false">IFERROR(P92/N92,0)</f>
        <v>0.537670096249585</v>
      </c>
    </row>
    <row r="93" customFormat="false" ht="15" hidden="false" customHeight="false" outlineLevel="0" collapsed="false">
      <c r="A93" s="11" t="s">
        <v>323</v>
      </c>
      <c r="B93" s="16" t="s">
        <v>324</v>
      </c>
      <c r="C93" s="11" t="str">
        <f aca="false">TEXT(B93,"mmm-yyyy")</f>
        <v>May-2025</v>
      </c>
      <c r="D93" s="11" t="s">
        <v>40</v>
      </c>
      <c r="E93" s="11" t="s">
        <v>56</v>
      </c>
      <c r="F93" s="11" t="s">
        <v>52</v>
      </c>
      <c r="G93" s="11" t="s">
        <v>47</v>
      </c>
      <c r="H93" s="11" t="n">
        <v>175</v>
      </c>
      <c r="I93" s="12" t="n">
        <v>49.16</v>
      </c>
      <c r="J93" s="12" t="n">
        <v>85.88</v>
      </c>
      <c r="K93" s="17" t="n">
        <v>0</v>
      </c>
      <c r="L93" s="12" t="n">
        <f aca="false">H93*J93</f>
        <v>15029</v>
      </c>
      <c r="M93" s="12" t="n">
        <f aca="false">L93*K93</f>
        <v>0</v>
      </c>
      <c r="N93" s="12" t="n">
        <f aca="false">L93-M93</f>
        <v>15029</v>
      </c>
      <c r="O93" s="12" t="n">
        <f aca="false">H93*I93</f>
        <v>8603</v>
      </c>
      <c r="P93" s="12" t="n">
        <f aca="false">N93-O93</f>
        <v>6426</v>
      </c>
      <c r="Q93" s="17" t="n">
        <f aca="false">IFERROR(P93/N93,0)</f>
        <v>0.427573358174197</v>
      </c>
    </row>
    <row r="94" customFormat="false" ht="15" hidden="false" customHeight="false" outlineLevel="0" collapsed="false">
      <c r="A94" s="8" t="s">
        <v>447</v>
      </c>
      <c r="B94" s="14" t="s">
        <v>448</v>
      </c>
      <c r="C94" s="8" t="str">
        <f aca="false">TEXT(B94,"mmm-yyyy")</f>
        <v>May-2025</v>
      </c>
      <c r="D94" s="8" t="s">
        <v>61</v>
      </c>
      <c r="E94" s="8" t="s">
        <v>72</v>
      </c>
      <c r="F94" s="8" t="s">
        <v>73</v>
      </c>
      <c r="G94" s="8" t="s">
        <v>47</v>
      </c>
      <c r="H94" s="8" t="n">
        <v>244</v>
      </c>
      <c r="I94" s="9" t="n">
        <v>28.6</v>
      </c>
      <c r="J94" s="9" t="n">
        <v>61.17</v>
      </c>
      <c r="K94" s="15" t="n">
        <v>0.15</v>
      </c>
      <c r="L94" s="9" t="n">
        <f aca="false">H94*J94</f>
        <v>14925.48</v>
      </c>
      <c r="M94" s="9" t="n">
        <f aca="false">L94*K94</f>
        <v>2238.822</v>
      </c>
      <c r="N94" s="9" t="n">
        <f aca="false">L94-M94</f>
        <v>12686.658</v>
      </c>
      <c r="O94" s="9" t="n">
        <f aca="false">H94*I94</f>
        <v>6978.4</v>
      </c>
      <c r="P94" s="9" t="n">
        <f aca="false">N94-O94</f>
        <v>5708.258</v>
      </c>
      <c r="Q94" s="15" t="n">
        <f aca="false">IFERROR(P94/N94,0)</f>
        <v>0.449941820769504</v>
      </c>
    </row>
    <row r="95" customFormat="false" ht="15" hidden="false" customHeight="false" outlineLevel="0" collapsed="false">
      <c r="A95" s="11" t="s">
        <v>359</v>
      </c>
      <c r="B95" s="16" t="s">
        <v>360</v>
      </c>
      <c r="C95" s="11" t="str">
        <f aca="false">TEXT(B95,"mmm-yyyy")</f>
        <v>May-2025</v>
      </c>
      <c r="D95" s="11" t="s">
        <v>46</v>
      </c>
      <c r="E95" s="11" t="s">
        <v>51</v>
      </c>
      <c r="F95" s="11" t="s">
        <v>52</v>
      </c>
      <c r="G95" s="11" t="s">
        <v>69</v>
      </c>
      <c r="H95" s="11" t="n">
        <v>123</v>
      </c>
      <c r="I95" s="12" t="n">
        <v>70.82</v>
      </c>
      <c r="J95" s="12" t="n">
        <v>123.65</v>
      </c>
      <c r="K95" s="17" t="n">
        <v>0.1</v>
      </c>
      <c r="L95" s="12" t="n">
        <f aca="false">H95*J95</f>
        <v>15208.95</v>
      </c>
      <c r="M95" s="12" t="n">
        <f aca="false">L95*K95</f>
        <v>1520.895</v>
      </c>
      <c r="N95" s="12" t="n">
        <f aca="false">L95-M95</f>
        <v>13688.055</v>
      </c>
      <c r="O95" s="12" t="n">
        <f aca="false">H95*I95</f>
        <v>8710.86</v>
      </c>
      <c r="P95" s="12" t="n">
        <f aca="false">N95-O95</f>
        <v>4977.195</v>
      </c>
      <c r="Q95" s="17" t="n">
        <f aca="false">IFERROR(P95/N95,0)</f>
        <v>0.363615941052253</v>
      </c>
    </row>
    <row r="96" customFormat="false" ht="15" hidden="false" customHeight="false" outlineLevel="0" collapsed="false">
      <c r="A96" s="8" t="s">
        <v>377</v>
      </c>
      <c r="B96" s="14" t="s">
        <v>360</v>
      </c>
      <c r="C96" s="8" t="str">
        <f aca="false">TEXT(B96,"mmm-yyyy")</f>
        <v>May-2025</v>
      </c>
      <c r="D96" s="8" t="s">
        <v>40</v>
      </c>
      <c r="E96" s="8" t="s">
        <v>51</v>
      </c>
      <c r="F96" s="8" t="s">
        <v>52</v>
      </c>
      <c r="G96" s="8" t="s">
        <v>47</v>
      </c>
      <c r="H96" s="8" t="n">
        <v>146</v>
      </c>
      <c r="I96" s="9" t="n">
        <v>69.38</v>
      </c>
      <c r="J96" s="9" t="n">
        <v>114.07</v>
      </c>
      <c r="K96" s="15" t="n">
        <v>0.1</v>
      </c>
      <c r="L96" s="9" t="n">
        <f aca="false">H96*J96</f>
        <v>16654.22</v>
      </c>
      <c r="M96" s="9" t="n">
        <f aca="false">L96*K96</f>
        <v>1665.422</v>
      </c>
      <c r="N96" s="9" t="n">
        <f aca="false">L96-M96</f>
        <v>14988.798</v>
      </c>
      <c r="O96" s="9" t="n">
        <f aca="false">H96*I96</f>
        <v>10129.48</v>
      </c>
      <c r="P96" s="9" t="n">
        <f aca="false">N96-O96</f>
        <v>4859.318</v>
      </c>
      <c r="Q96" s="15" t="n">
        <f aca="false">IFERROR(P96/N96,0)</f>
        <v>0.324196643386614</v>
      </c>
    </row>
    <row r="97" customFormat="false" ht="15" hidden="false" customHeight="false" outlineLevel="0" collapsed="false">
      <c r="A97" s="11" t="s">
        <v>431</v>
      </c>
      <c r="B97" s="16" t="s">
        <v>432</v>
      </c>
      <c r="C97" s="11" t="str">
        <f aca="false">TEXT(B97,"mmm-yyyy")</f>
        <v>May-2025</v>
      </c>
      <c r="D97" s="11" t="s">
        <v>40</v>
      </c>
      <c r="E97" s="11" t="s">
        <v>114</v>
      </c>
      <c r="F97" s="11" t="s">
        <v>73</v>
      </c>
      <c r="G97" s="11" t="s">
        <v>43</v>
      </c>
      <c r="H97" s="11" t="n">
        <v>223</v>
      </c>
      <c r="I97" s="12" t="n">
        <v>14.03</v>
      </c>
      <c r="J97" s="12" t="n">
        <v>31.44</v>
      </c>
      <c r="K97" s="17" t="n">
        <v>0.1</v>
      </c>
      <c r="L97" s="12" t="n">
        <f aca="false">H97*J97</f>
        <v>7011.12</v>
      </c>
      <c r="M97" s="12" t="n">
        <f aca="false">L97*K97</f>
        <v>701.112</v>
      </c>
      <c r="N97" s="12" t="n">
        <f aca="false">L97-M97</f>
        <v>6310.008</v>
      </c>
      <c r="O97" s="12" t="n">
        <f aca="false">H97*I97</f>
        <v>3128.69</v>
      </c>
      <c r="P97" s="12" t="n">
        <f aca="false">N97-O97</f>
        <v>3181.318</v>
      </c>
      <c r="Q97" s="17" t="n">
        <f aca="false">IFERROR(P97/N97,0)</f>
        <v>0.504170200735086</v>
      </c>
    </row>
    <row r="98" customFormat="false" ht="15" hidden="false" customHeight="false" outlineLevel="0" collapsed="false">
      <c r="A98" s="8" t="s">
        <v>370</v>
      </c>
      <c r="B98" s="14" t="s">
        <v>371</v>
      </c>
      <c r="C98" s="8" t="str">
        <f aca="false">TEXT(B98,"mmm-yyyy")</f>
        <v>May-2025</v>
      </c>
      <c r="D98" s="8" t="s">
        <v>46</v>
      </c>
      <c r="E98" s="8" t="s">
        <v>56</v>
      </c>
      <c r="F98" s="8" t="s">
        <v>52</v>
      </c>
      <c r="G98" s="8" t="s">
        <v>43</v>
      </c>
      <c r="H98" s="8" t="n">
        <v>217</v>
      </c>
      <c r="I98" s="9" t="n">
        <v>50.9</v>
      </c>
      <c r="J98" s="9" t="n">
        <v>84.63</v>
      </c>
      <c r="K98" s="15" t="n">
        <v>0.15</v>
      </c>
      <c r="L98" s="9" t="n">
        <f aca="false">H98*J98</f>
        <v>18364.71</v>
      </c>
      <c r="M98" s="9" t="n">
        <f aca="false">L98*K98</f>
        <v>2754.7065</v>
      </c>
      <c r="N98" s="9" t="n">
        <f aca="false">L98-M98</f>
        <v>15610.0035</v>
      </c>
      <c r="O98" s="9" t="n">
        <f aca="false">H98*I98</f>
        <v>11045.3</v>
      </c>
      <c r="P98" s="9" t="n">
        <f aca="false">N98-O98</f>
        <v>4564.7035</v>
      </c>
      <c r="Q98" s="15" t="n">
        <f aca="false">IFERROR(P98/N98,0)</f>
        <v>0.292421683313524</v>
      </c>
    </row>
    <row r="99" customFormat="false" ht="15" hidden="false" customHeight="false" outlineLevel="0" collapsed="false">
      <c r="A99" s="11" t="s">
        <v>187</v>
      </c>
      <c r="B99" s="16" t="s">
        <v>188</v>
      </c>
      <c r="C99" s="11" t="str">
        <f aca="false">TEXT(B99,"mmm-yyyy")</f>
        <v>May-2025</v>
      </c>
      <c r="D99" s="11" t="s">
        <v>55</v>
      </c>
      <c r="E99" s="11" t="s">
        <v>114</v>
      </c>
      <c r="F99" s="11" t="s">
        <v>73</v>
      </c>
      <c r="G99" s="11" t="s">
        <v>69</v>
      </c>
      <c r="H99" s="11" t="n">
        <v>230</v>
      </c>
      <c r="I99" s="12" t="n">
        <v>14</v>
      </c>
      <c r="J99" s="12" t="n">
        <v>30.59</v>
      </c>
      <c r="K99" s="17" t="n">
        <v>0</v>
      </c>
      <c r="L99" s="12" t="n">
        <f aca="false">H99*J99</f>
        <v>7035.7</v>
      </c>
      <c r="M99" s="12" t="n">
        <f aca="false">L99*K99</f>
        <v>0</v>
      </c>
      <c r="N99" s="12" t="n">
        <f aca="false">L99-M99</f>
        <v>7035.7</v>
      </c>
      <c r="O99" s="12" t="n">
        <f aca="false">H99*I99</f>
        <v>3220</v>
      </c>
      <c r="P99" s="12" t="n">
        <f aca="false">N99-O99</f>
        <v>3815.7</v>
      </c>
      <c r="Q99" s="17" t="n">
        <f aca="false">IFERROR(P99/N99,0)</f>
        <v>0.54233409610984</v>
      </c>
    </row>
    <row r="100" customFormat="false" ht="15" hidden="false" customHeight="false" outlineLevel="0" collapsed="false">
      <c r="A100" s="8" t="s">
        <v>413</v>
      </c>
      <c r="B100" s="14" t="s">
        <v>414</v>
      </c>
      <c r="C100" s="8" t="str">
        <f aca="false">TEXT(B100,"mmm-yyyy")</f>
        <v>May-2025</v>
      </c>
      <c r="D100" s="8" t="s">
        <v>55</v>
      </c>
      <c r="E100" s="8" t="s">
        <v>41</v>
      </c>
      <c r="F100" s="8" t="s">
        <v>42</v>
      </c>
      <c r="G100" s="8" t="s">
        <v>69</v>
      </c>
      <c r="H100" s="8" t="n">
        <v>310</v>
      </c>
      <c r="I100" s="9" t="n">
        <v>21.94</v>
      </c>
      <c r="J100" s="9" t="n">
        <v>46.21</v>
      </c>
      <c r="K100" s="15" t="n">
        <v>0.15</v>
      </c>
      <c r="L100" s="9" t="n">
        <f aca="false">H100*J100</f>
        <v>14325.1</v>
      </c>
      <c r="M100" s="9" t="n">
        <f aca="false">L100*K100</f>
        <v>2148.765</v>
      </c>
      <c r="N100" s="9" t="n">
        <f aca="false">L100-M100</f>
        <v>12176.335</v>
      </c>
      <c r="O100" s="9" t="n">
        <f aca="false">H100*I100</f>
        <v>6801.4</v>
      </c>
      <c r="P100" s="9" t="n">
        <f aca="false">N100-O100</f>
        <v>5374.935</v>
      </c>
      <c r="Q100" s="15" t="n">
        <f aca="false">IFERROR(P100/N100,0)</f>
        <v>0.441424697989995</v>
      </c>
    </row>
    <row r="101" customFormat="false" ht="15" hidden="false" customHeight="false" outlineLevel="0" collapsed="false">
      <c r="A101" s="11" t="s">
        <v>400</v>
      </c>
      <c r="B101" s="16" t="s">
        <v>401</v>
      </c>
      <c r="C101" s="11" t="str">
        <f aca="false">TEXT(B101,"mmm-yyyy")</f>
        <v>May-2025</v>
      </c>
      <c r="D101" s="11" t="s">
        <v>46</v>
      </c>
      <c r="E101" s="11" t="s">
        <v>41</v>
      </c>
      <c r="F101" s="11" t="s">
        <v>42</v>
      </c>
      <c r="G101" s="11" t="s">
        <v>43</v>
      </c>
      <c r="H101" s="11" t="n">
        <v>311</v>
      </c>
      <c r="I101" s="12" t="n">
        <v>22.34</v>
      </c>
      <c r="J101" s="12" t="n">
        <v>44.18</v>
      </c>
      <c r="K101" s="17" t="n">
        <v>0.1</v>
      </c>
      <c r="L101" s="12" t="n">
        <f aca="false">H101*J101</f>
        <v>13739.98</v>
      </c>
      <c r="M101" s="12" t="n">
        <f aca="false">L101*K101</f>
        <v>1373.998</v>
      </c>
      <c r="N101" s="12" t="n">
        <f aca="false">L101-M101</f>
        <v>12365.982</v>
      </c>
      <c r="O101" s="12" t="n">
        <f aca="false">H101*I101</f>
        <v>6947.74</v>
      </c>
      <c r="P101" s="12" t="n">
        <f aca="false">N101-O101</f>
        <v>5418.242</v>
      </c>
      <c r="Q101" s="17" t="n">
        <f aca="false">IFERROR(P101/N101,0)</f>
        <v>0.438157034354409</v>
      </c>
    </row>
    <row r="102" customFormat="false" ht="15" hidden="false" customHeight="false" outlineLevel="0" collapsed="false">
      <c r="A102" s="8" t="s">
        <v>254</v>
      </c>
      <c r="B102" s="14" t="s">
        <v>255</v>
      </c>
      <c r="C102" s="8" t="str">
        <f aca="false">TEXT(B102,"mmm-yyyy")</f>
        <v>May-2025</v>
      </c>
      <c r="D102" s="8" t="s">
        <v>46</v>
      </c>
      <c r="E102" s="8" t="s">
        <v>114</v>
      </c>
      <c r="F102" s="8" t="s">
        <v>73</v>
      </c>
      <c r="G102" s="8" t="s">
        <v>43</v>
      </c>
      <c r="H102" s="8" t="n">
        <v>206</v>
      </c>
      <c r="I102" s="9" t="n">
        <v>14.04</v>
      </c>
      <c r="J102" s="9" t="n">
        <v>30.99</v>
      </c>
      <c r="K102" s="15" t="n">
        <v>0</v>
      </c>
      <c r="L102" s="9" t="n">
        <f aca="false">H102*J102</f>
        <v>6383.94</v>
      </c>
      <c r="M102" s="9" t="n">
        <f aca="false">L102*K102</f>
        <v>0</v>
      </c>
      <c r="N102" s="9" t="n">
        <f aca="false">L102-M102</f>
        <v>6383.94</v>
      </c>
      <c r="O102" s="9" t="n">
        <f aca="false">H102*I102</f>
        <v>2892.24</v>
      </c>
      <c r="P102" s="9" t="n">
        <f aca="false">N102-O102</f>
        <v>3491.7</v>
      </c>
      <c r="Q102" s="15" t="n">
        <f aca="false">IFERROR(P102/N102,0)</f>
        <v>0.546950629235237</v>
      </c>
    </row>
    <row r="103" customFormat="false" ht="15" hidden="false" customHeight="false" outlineLevel="0" collapsed="false">
      <c r="A103" s="11" t="s">
        <v>374</v>
      </c>
      <c r="B103" s="16" t="s">
        <v>255</v>
      </c>
      <c r="C103" s="11" t="str">
        <f aca="false">TEXT(B103,"mmm-yyyy")</f>
        <v>May-2025</v>
      </c>
      <c r="D103" s="11" t="s">
        <v>40</v>
      </c>
      <c r="E103" s="11" t="s">
        <v>72</v>
      </c>
      <c r="F103" s="11" t="s">
        <v>73</v>
      </c>
      <c r="G103" s="11" t="s">
        <v>69</v>
      </c>
      <c r="H103" s="11" t="n">
        <v>101</v>
      </c>
      <c r="I103" s="12" t="n">
        <v>27.3</v>
      </c>
      <c r="J103" s="12" t="n">
        <v>60.98</v>
      </c>
      <c r="K103" s="17" t="n">
        <v>0.1</v>
      </c>
      <c r="L103" s="12" t="n">
        <f aca="false">H103*J103</f>
        <v>6158.98</v>
      </c>
      <c r="M103" s="12" t="n">
        <f aca="false">L103*K103</f>
        <v>615.898</v>
      </c>
      <c r="N103" s="12" t="n">
        <f aca="false">L103-M103</f>
        <v>5543.082</v>
      </c>
      <c r="O103" s="12" t="n">
        <f aca="false">H103*I103</f>
        <v>2757.3</v>
      </c>
      <c r="P103" s="12" t="n">
        <f aca="false">N103-O103</f>
        <v>2785.782</v>
      </c>
      <c r="Q103" s="17" t="n">
        <f aca="false">IFERROR(P103/N103,0)</f>
        <v>0.502569148354652</v>
      </c>
    </row>
    <row r="104" customFormat="false" ht="15" hidden="false" customHeight="false" outlineLevel="0" collapsed="false">
      <c r="A104" s="8" t="s">
        <v>108</v>
      </c>
      <c r="B104" s="14" t="s">
        <v>109</v>
      </c>
      <c r="C104" s="8" t="str">
        <f aca="false">TEXT(B104,"mmm-yyyy")</f>
        <v>Jun-2025</v>
      </c>
      <c r="D104" s="8" t="s">
        <v>40</v>
      </c>
      <c r="E104" s="8" t="s">
        <v>41</v>
      </c>
      <c r="F104" s="8" t="s">
        <v>42</v>
      </c>
      <c r="G104" s="8" t="s">
        <v>43</v>
      </c>
      <c r="H104" s="8" t="n">
        <v>220</v>
      </c>
      <c r="I104" s="9" t="n">
        <v>22.13</v>
      </c>
      <c r="J104" s="9" t="n">
        <v>44.01</v>
      </c>
      <c r="K104" s="15" t="n">
        <v>0.05</v>
      </c>
      <c r="L104" s="9" t="n">
        <f aca="false">H104*J104</f>
        <v>9682.2</v>
      </c>
      <c r="M104" s="9" t="n">
        <f aca="false">L104*K104</f>
        <v>484.11</v>
      </c>
      <c r="N104" s="9" t="n">
        <f aca="false">L104-M104</f>
        <v>9198.09</v>
      </c>
      <c r="O104" s="9" t="n">
        <f aca="false">H104*I104</f>
        <v>4868.6</v>
      </c>
      <c r="P104" s="9" t="n">
        <f aca="false">N104-O104</f>
        <v>4329.49</v>
      </c>
      <c r="Q104" s="15" t="n">
        <f aca="false">IFERROR(P104/N104,0)</f>
        <v>0.4706944593932</v>
      </c>
    </row>
    <row r="105" customFormat="false" ht="15" hidden="false" customHeight="false" outlineLevel="0" collapsed="false">
      <c r="A105" s="11" t="s">
        <v>103</v>
      </c>
      <c r="B105" s="16" t="s">
        <v>104</v>
      </c>
      <c r="C105" s="11" t="str">
        <f aca="false">TEXT(B105,"mmm-yyyy")</f>
        <v>Jun-2025</v>
      </c>
      <c r="D105" s="11" t="s">
        <v>40</v>
      </c>
      <c r="E105" s="11" t="s">
        <v>72</v>
      </c>
      <c r="F105" s="11" t="s">
        <v>73</v>
      </c>
      <c r="G105" s="11" t="s">
        <v>69</v>
      </c>
      <c r="H105" s="11" t="n">
        <v>177</v>
      </c>
      <c r="I105" s="12" t="n">
        <v>28.36</v>
      </c>
      <c r="J105" s="12" t="n">
        <v>59.86</v>
      </c>
      <c r="K105" s="17" t="n">
        <v>0.1</v>
      </c>
      <c r="L105" s="12" t="n">
        <f aca="false">H105*J105</f>
        <v>10595.22</v>
      </c>
      <c r="M105" s="12" t="n">
        <f aca="false">L105*K105</f>
        <v>1059.522</v>
      </c>
      <c r="N105" s="12" t="n">
        <f aca="false">L105-M105</f>
        <v>9535.698</v>
      </c>
      <c r="O105" s="12" t="n">
        <f aca="false">H105*I105</f>
        <v>5019.72</v>
      </c>
      <c r="P105" s="12" t="n">
        <f aca="false">N105-O105</f>
        <v>4515.978</v>
      </c>
      <c r="Q105" s="17" t="n">
        <f aca="false">IFERROR(P105/N105,0)</f>
        <v>0.473586516687085</v>
      </c>
    </row>
    <row r="106" customFormat="false" ht="15" hidden="false" customHeight="false" outlineLevel="0" collapsed="false">
      <c r="A106" s="8" t="s">
        <v>372</v>
      </c>
      <c r="B106" s="14" t="s">
        <v>373</v>
      </c>
      <c r="C106" s="8" t="str">
        <f aca="false">TEXT(B106,"mmm-yyyy")</f>
        <v>Jun-2025</v>
      </c>
      <c r="D106" s="8" t="s">
        <v>55</v>
      </c>
      <c r="E106" s="8" t="s">
        <v>72</v>
      </c>
      <c r="F106" s="8" t="s">
        <v>73</v>
      </c>
      <c r="G106" s="8" t="s">
        <v>43</v>
      </c>
      <c r="H106" s="8" t="n">
        <v>247</v>
      </c>
      <c r="I106" s="9" t="n">
        <v>27.37</v>
      </c>
      <c r="J106" s="9" t="n">
        <v>57.91</v>
      </c>
      <c r="K106" s="15" t="n">
        <v>0</v>
      </c>
      <c r="L106" s="9" t="n">
        <f aca="false">H106*J106</f>
        <v>14303.77</v>
      </c>
      <c r="M106" s="9" t="n">
        <f aca="false">L106*K106</f>
        <v>0</v>
      </c>
      <c r="N106" s="9" t="n">
        <f aca="false">L106-M106</f>
        <v>14303.77</v>
      </c>
      <c r="O106" s="9" t="n">
        <f aca="false">H106*I106</f>
        <v>6760.39</v>
      </c>
      <c r="P106" s="9" t="n">
        <f aca="false">N106-O106</f>
        <v>7543.38</v>
      </c>
      <c r="Q106" s="15" t="n">
        <f aca="false">IFERROR(P106/N106,0)</f>
        <v>0.527370056984977</v>
      </c>
    </row>
    <row r="107" customFormat="false" ht="15" hidden="false" customHeight="false" outlineLevel="0" collapsed="false">
      <c r="A107" s="11" t="s">
        <v>248</v>
      </c>
      <c r="B107" s="16" t="s">
        <v>249</v>
      </c>
      <c r="C107" s="11" t="str">
        <f aca="false">TEXT(B107,"mmm-yyyy")</f>
        <v>Jun-2025</v>
      </c>
      <c r="D107" s="11" t="s">
        <v>55</v>
      </c>
      <c r="E107" s="11" t="s">
        <v>114</v>
      </c>
      <c r="F107" s="11" t="s">
        <v>73</v>
      </c>
      <c r="G107" s="11" t="s">
        <v>69</v>
      </c>
      <c r="H107" s="11" t="n">
        <v>249</v>
      </c>
      <c r="I107" s="12" t="n">
        <v>14.38</v>
      </c>
      <c r="J107" s="12" t="n">
        <v>28.71</v>
      </c>
      <c r="K107" s="17" t="n">
        <v>0</v>
      </c>
      <c r="L107" s="12" t="n">
        <f aca="false">H107*J107</f>
        <v>7148.79</v>
      </c>
      <c r="M107" s="12" t="n">
        <f aca="false">L107*K107</f>
        <v>0</v>
      </c>
      <c r="N107" s="12" t="n">
        <f aca="false">L107-M107</f>
        <v>7148.79</v>
      </c>
      <c r="O107" s="12" t="n">
        <f aca="false">H107*I107</f>
        <v>3580.62</v>
      </c>
      <c r="P107" s="12" t="n">
        <f aca="false">N107-O107</f>
        <v>3568.17</v>
      </c>
      <c r="Q107" s="17" t="n">
        <f aca="false">IFERROR(P107/N107,0)</f>
        <v>0.499129223267154</v>
      </c>
    </row>
    <row r="108" customFormat="false" ht="15" hidden="false" customHeight="false" outlineLevel="0" collapsed="false">
      <c r="A108" s="8" t="s">
        <v>80</v>
      </c>
      <c r="B108" s="14" t="s">
        <v>81</v>
      </c>
      <c r="C108" s="8" t="str">
        <f aca="false">TEXT(B108,"mmm-yyyy")</f>
        <v>Jun-2025</v>
      </c>
      <c r="D108" s="8" t="s">
        <v>40</v>
      </c>
      <c r="E108" s="8" t="s">
        <v>56</v>
      </c>
      <c r="F108" s="8" t="s">
        <v>52</v>
      </c>
      <c r="G108" s="8" t="s">
        <v>47</v>
      </c>
      <c r="H108" s="8" t="n">
        <v>156</v>
      </c>
      <c r="I108" s="9" t="n">
        <v>49.96</v>
      </c>
      <c r="J108" s="9" t="n">
        <v>83.51</v>
      </c>
      <c r="K108" s="15" t="n">
        <v>0.05</v>
      </c>
      <c r="L108" s="9" t="n">
        <f aca="false">H108*J108</f>
        <v>13027.56</v>
      </c>
      <c r="M108" s="9" t="n">
        <f aca="false">L108*K108</f>
        <v>651.378</v>
      </c>
      <c r="N108" s="9" t="n">
        <f aca="false">L108-M108</f>
        <v>12376.182</v>
      </c>
      <c r="O108" s="9" t="n">
        <f aca="false">H108*I108</f>
        <v>7793.76</v>
      </c>
      <c r="P108" s="9" t="n">
        <f aca="false">N108-O108</f>
        <v>4582.422</v>
      </c>
      <c r="Q108" s="15" t="n">
        <f aca="false">IFERROR(P108/N108,0)</f>
        <v>0.370261361702664</v>
      </c>
    </row>
    <row r="109" customFormat="false" ht="15" hidden="false" customHeight="false" outlineLevel="0" collapsed="false">
      <c r="A109" s="11" t="s">
        <v>199</v>
      </c>
      <c r="B109" s="16" t="s">
        <v>200</v>
      </c>
      <c r="C109" s="11" t="str">
        <f aca="false">TEXT(B109,"mmm-yyyy")</f>
        <v>Jun-2025</v>
      </c>
      <c r="D109" s="11" t="s">
        <v>46</v>
      </c>
      <c r="E109" s="11" t="s">
        <v>72</v>
      </c>
      <c r="F109" s="11" t="s">
        <v>73</v>
      </c>
      <c r="G109" s="11" t="s">
        <v>69</v>
      </c>
      <c r="H109" s="11" t="n">
        <v>285</v>
      </c>
      <c r="I109" s="12" t="n">
        <v>28.5</v>
      </c>
      <c r="J109" s="12" t="n">
        <v>61.83</v>
      </c>
      <c r="K109" s="17" t="n">
        <v>0.15</v>
      </c>
      <c r="L109" s="12" t="n">
        <f aca="false">H109*J109</f>
        <v>17621.55</v>
      </c>
      <c r="M109" s="12" t="n">
        <f aca="false">L109*K109</f>
        <v>2643.2325</v>
      </c>
      <c r="N109" s="12" t="n">
        <f aca="false">L109-M109</f>
        <v>14978.3175</v>
      </c>
      <c r="O109" s="12" t="n">
        <f aca="false">H109*I109</f>
        <v>8122.5</v>
      </c>
      <c r="P109" s="12" t="n">
        <f aca="false">N109-O109</f>
        <v>6855.8175</v>
      </c>
      <c r="Q109" s="17" t="n">
        <f aca="false">IFERROR(P109/N109,0)</f>
        <v>0.457716128663984</v>
      </c>
    </row>
    <row r="110" customFormat="false" ht="15" hidden="false" customHeight="false" outlineLevel="0" collapsed="false">
      <c r="A110" s="8" t="s">
        <v>452</v>
      </c>
      <c r="B110" s="14" t="s">
        <v>453</v>
      </c>
      <c r="C110" s="8" t="str">
        <f aca="false">TEXT(B110,"mmm-yyyy")</f>
        <v>Jun-2025</v>
      </c>
      <c r="D110" s="8" t="s">
        <v>40</v>
      </c>
      <c r="E110" s="8" t="s">
        <v>51</v>
      </c>
      <c r="F110" s="8" t="s">
        <v>52</v>
      </c>
      <c r="G110" s="8" t="s">
        <v>43</v>
      </c>
      <c r="H110" s="8" t="n">
        <v>149</v>
      </c>
      <c r="I110" s="9" t="n">
        <v>69.85</v>
      </c>
      <c r="J110" s="9" t="n">
        <v>116.93</v>
      </c>
      <c r="K110" s="15" t="n">
        <v>0.15</v>
      </c>
      <c r="L110" s="9" t="n">
        <f aca="false">H110*J110</f>
        <v>17422.57</v>
      </c>
      <c r="M110" s="9" t="n">
        <f aca="false">L110*K110</f>
        <v>2613.3855</v>
      </c>
      <c r="N110" s="9" t="n">
        <f aca="false">L110-M110</f>
        <v>14809.1845</v>
      </c>
      <c r="O110" s="9" t="n">
        <f aca="false">H110*I110</f>
        <v>10407.65</v>
      </c>
      <c r="P110" s="9" t="n">
        <f aca="false">N110-O110</f>
        <v>4401.5345</v>
      </c>
      <c r="Q110" s="15" t="n">
        <f aca="false">IFERROR(P110/N110,0)</f>
        <v>0.297216534779481</v>
      </c>
    </row>
    <row r="111" customFormat="false" ht="15" hidden="false" customHeight="false" outlineLevel="0" collapsed="false">
      <c r="A111" s="11" t="s">
        <v>250</v>
      </c>
      <c r="B111" s="16" t="s">
        <v>251</v>
      </c>
      <c r="C111" s="11" t="str">
        <f aca="false">TEXT(B111,"mmm-yyyy")</f>
        <v>Jun-2025</v>
      </c>
      <c r="D111" s="11" t="s">
        <v>61</v>
      </c>
      <c r="E111" s="11" t="s">
        <v>72</v>
      </c>
      <c r="F111" s="11" t="s">
        <v>73</v>
      </c>
      <c r="G111" s="11" t="s">
        <v>47</v>
      </c>
      <c r="H111" s="11" t="n">
        <v>197</v>
      </c>
      <c r="I111" s="12" t="n">
        <v>28.56</v>
      </c>
      <c r="J111" s="12" t="n">
        <v>62.11</v>
      </c>
      <c r="K111" s="17" t="n">
        <v>0</v>
      </c>
      <c r="L111" s="12" t="n">
        <f aca="false">H111*J111</f>
        <v>12235.67</v>
      </c>
      <c r="M111" s="12" t="n">
        <f aca="false">L111*K111</f>
        <v>0</v>
      </c>
      <c r="N111" s="12" t="n">
        <f aca="false">L111-M111</f>
        <v>12235.67</v>
      </c>
      <c r="O111" s="12" t="n">
        <f aca="false">H111*I111</f>
        <v>5626.32</v>
      </c>
      <c r="P111" s="12" t="n">
        <f aca="false">N111-O111</f>
        <v>6609.35</v>
      </c>
      <c r="Q111" s="17" t="n">
        <f aca="false">IFERROR(P111/N111,0)</f>
        <v>0.540170664949284</v>
      </c>
    </row>
    <row r="112" customFormat="false" ht="15" hidden="false" customHeight="false" outlineLevel="0" collapsed="false">
      <c r="A112" s="8" t="s">
        <v>283</v>
      </c>
      <c r="B112" s="14" t="s">
        <v>284</v>
      </c>
      <c r="C112" s="8" t="str">
        <f aca="false">TEXT(B112,"mmm-yyyy")</f>
        <v>Jun-2025</v>
      </c>
      <c r="D112" s="8" t="s">
        <v>46</v>
      </c>
      <c r="E112" s="8" t="s">
        <v>56</v>
      </c>
      <c r="F112" s="8" t="s">
        <v>52</v>
      </c>
      <c r="G112" s="8" t="s">
        <v>69</v>
      </c>
      <c r="H112" s="8" t="n">
        <v>158</v>
      </c>
      <c r="I112" s="9" t="n">
        <v>50.96</v>
      </c>
      <c r="J112" s="9" t="n">
        <v>81.72</v>
      </c>
      <c r="K112" s="15" t="n">
        <v>0.05</v>
      </c>
      <c r="L112" s="9" t="n">
        <f aca="false">H112*J112</f>
        <v>12911.76</v>
      </c>
      <c r="M112" s="9" t="n">
        <f aca="false">L112*K112</f>
        <v>645.588</v>
      </c>
      <c r="N112" s="9" t="n">
        <f aca="false">L112-M112</f>
        <v>12266.172</v>
      </c>
      <c r="O112" s="9" t="n">
        <f aca="false">H112*I112</f>
        <v>8051.68</v>
      </c>
      <c r="P112" s="9" t="n">
        <f aca="false">N112-O112</f>
        <v>4214.492</v>
      </c>
      <c r="Q112" s="15" t="n">
        <f aca="false">IFERROR(P112/N112,0)</f>
        <v>0.34358657289332</v>
      </c>
    </row>
    <row r="113" customFormat="false" ht="15" hidden="false" customHeight="false" outlineLevel="0" collapsed="false">
      <c r="A113" s="11" t="s">
        <v>130</v>
      </c>
      <c r="B113" s="16" t="s">
        <v>131</v>
      </c>
      <c r="C113" s="11" t="str">
        <f aca="false">TEXT(B113,"mmm-yyyy")</f>
        <v>Jun-2025</v>
      </c>
      <c r="D113" s="11" t="s">
        <v>46</v>
      </c>
      <c r="E113" s="11" t="s">
        <v>51</v>
      </c>
      <c r="F113" s="11" t="s">
        <v>52</v>
      </c>
      <c r="G113" s="11" t="s">
        <v>69</v>
      </c>
      <c r="H113" s="11" t="n">
        <v>232</v>
      </c>
      <c r="I113" s="12" t="n">
        <v>68.98</v>
      </c>
      <c r="J113" s="12" t="n">
        <v>119.58</v>
      </c>
      <c r="K113" s="17" t="n">
        <v>0.05</v>
      </c>
      <c r="L113" s="12" t="n">
        <f aca="false">H113*J113</f>
        <v>27742.56</v>
      </c>
      <c r="M113" s="12" t="n">
        <f aca="false">L113*K113</f>
        <v>1387.128</v>
      </c>
      <c r="N113" s="12" t="n">
        <f aca="false">L113-M113</f>
        <v>26355.432</v>
      </c>
      <c r="O113" s="12" t="n">
        <f aca="false">H113*I113</f>
        <v>16003.36</v>
      </c>
      <c r="P113" s="12" t="n">
        <f aca="false">N113-O113</f>
        <v>10352.072</v>
      </c>
      <c r="Q113" s="17" t="n">
        <f aca="false">IFERROR(P113/N113,0)</f>
        <v>0.392787035325393</v>
      </c>
    </row>
    <row r="114" customFormat="false" ht="15" hidden="false" customHeight="false" outlineLevel="0" collapsed="false">
      <c r="A114" s="8" t="s">
        <v>316</v>
      </c>
      <c r="B114" s="14" t="s">
        <v>131</v>
      </c>
      <c r="C114" s="8" t="str">
        <f aca="false">TEXT(B114,"mmm-yyyy")</f>
        <v>Jun-2025</v>
      </c>
      <c r="D114" s="8" t="s">
        <v>46</v>
      </c>
      <c r="E114" s="8" t="s">
        <v>114</v>
      </c>
      <c r="F114" s="8" t="s">
        <v>73</v>
      </c>
      <c r="G114" s="8" t="s">
        <v>43</v>
      </c>
      <c r="H114" s="8" t="n">
        <v>244</v>
      </c>
      <c r="I114" s="9" t="n">
        <v>13.78</v>
      </c>
      <c r="J114" s="9" t="n">
        <v>30.99</v>
      </c>
      <c r="K114" s="15" t="n">
        <v>0.05</v>
      </c>
      <c r="L114" s="9" t="n">
        <f aca="false">H114*J114</f>
        <v>7561.56</v>
      </c>
      <c r="M114" s="9" t="n">
        <f aca="false">L114*K114</f>
        <v>378.078</v>
      </c>
      <c r="N114" s="9" t="n">
        <f aca="false">L114-M114</f>
        <v>7183.482</v>
      </c>
      <c r="O114" s="9" t="n">
        <f aca="false">H114*I114</f>
        <v>3362.32</v>
      </c>
      <c r="P114" s="9" t="n">
        <f aca="false">N114-O114</f>
        <v>3821.162</v>
      </c>
      <c r="Q114" s="15" t="n">
        <f aca="false">IFERROR(P114/N114,0)</f>
        <v>0.531937297260577</v>
      </c>
    </row>
    <row r="115" customFormat="false" ht="15" hidden="false" customHeight="false" outlineLevel="0" collapsed="false">
      <c r="A115" s="11" t="s">
        <v>122</v>
      </c>
      <c r="B115" s="16" t="s">
        <v>123</v>
      </c>
      <c r="C115" s="11" t="str">
        <f aca="false">TEXT(B115,"mmm-yyyy")</f>
        <v>Jun-2025</v>
      </c>
      <c r="D115" s="11" t="s">
        <v>55</v>
      </c>
      <c r="E115" s="11" t="s">
        <v>41</v>
      </c>
      <c r="F115" s="11" t="s">
        <v>42</v>
      </c>
      <c r="G115" s="11" t="s">
        <v>69</v>
      </c>
      <c r="H115" s="11" t="n">
        <v>253</v>
      </c>
      <c r="I115" s="12" t="n">
        <v>22.66</v>
      </c>
      <c r="J115" s="12" t="n">
        <v>45.18</v>
      </c>
      <c r="K115" s="17" t="n">
        <v>0.05</v>
      </c>
      <c r="L115" s="12" t="n">
        <f aca="false">H115*J115</f>
        <v>11430.54</v>
      </c>
      <c r="M115" s="12" t="n">
        <f aca="false">L115*K115</f>
        <v>571.527</v>
      </c>
      <c r="N115" s="12" t="n">
        <f aca="false">L115-M115</f>
        <v>10859.013</v>
      </c>
      <c r="O115" s="12" t="n">
        <f aca="false">H115*I115</f>
        <v>5732.98</v>
      </c>
      <c r="P115" s="12" t="n">
        <f aca="false">N115-O115</f>
        <v>5126.033</v>
      </c>
      <c r="Q115" s="17" t="n">
        <f aca="false">IFERROR(P115/N115,0)</f>
        <v>0.472053307238881</v>
      </c>
    </row>
    <row r="116" customFormat="false" ht="15" hidden="false" customHeight="false" outlineLevel="0" collapsed="false">
      <c r="A116" s="8" t="s">
        <v>44</v>
      </c>
      <c r="B116" s="14" t="s">
        <v>45</v>
      </c>
      <c r="C116" s="8" t="str">
        <f aca="false">TEXT(B116,"mmm-yyyy")</f>
        <v>Jun-2025</v>
      </c>
      <c r="D116" s="8" t="s">
        <v>46</v>
      </c>
      <c r="E116" s="8" t="s">
        <v>41</v>
      </c>
      <c r="F116" s="8" t="s">
        <v>42</v>
      </c>
      <c r="G116" s="8" t="s">
        <v>47</v>
      </c>
      <c r="H116" s="8" t="n">
        <v>171</v>
      </c>
      <c r="I116" s="9" t="n">
        <v>21.75</v>
      </c>
      <c r="J116" s="9" t="n">
        <v>42.87</v>
      </c>
      <c r="K116" s="15" t="n">
        <v>0.1</v>
      </c>
      <c r="L116" s="9" t="n">
        <f aca="false">H116*J116</f>
        <v>7330.77</v>
      </c>
      <c r="M116" s="9" t="n">
        <f aca="false">L116*K116</f>
        <v>733.077</v>
      </c>
      <c r="N116" s="9" t="n">
        <f aca="false">L116-M116</f>
        <v>6597.693</v>
      </c>
      <c r="O116" s="9" t="n">
        <f aca="false">H116*I116</f>
        <v>3719.25</v>
      </c>
      <c r="P116" s="9" t="n">
        <f aca="false">N116-O116</f>
        <v>2878.443</v>
      </c>
      <c r="Q116" s="15" t="n">
        <f aca="false">IFERROR(P116/N116,0)</f>
        <v>0.436280227042998</v>
      </c>
    </row>
    <row r="117" customFormat="false" ht="15" hidden="false" customHeight="false" outlineLevel="0" collapsed="false">
      <c r="A117" s="11" t="s">
        <v>454</v>
      </c>
      <c r="B117" s="16" t="s">
        <v>45</v>
      </c>
      <c r="C117" s="11" t="str">
        <f aca="false">TEXT(B117,"mmm-yyyy")</f>
        <v>Jun-2025</v>
      </c>
      <c r="D117" s="11" t="s">
        <v>40</v>
      </c>
      <c r="E117" s="11" t="s">
        <v>114</v>
      </c>
      <c r="F117" s="11" t="s">
        <v>73</v>
      </c>
      <c r="G117" s="11" t="s">
        <v>69</v>
      </c>
      <c r="H117" s="11" t="n">
        <v>154</v>
      </c>
      <c r="I117" s="12" t="n">
        <v>13.92</v>
      </c>
      <c r="J117" s="12" t="n">
        <v>29.22</v>
      </c>
      <c r="K117" s="17" t="n">
        <v>0.15</v>
      </c>
      <c r="L117" s="12" t="n">
        <f aca="false">H117*J117</f>
        <v>4499.88</v>
      </c>
      <c r="M117" s="12" t="n">
        <f aca="false">L117*K117</f>
        <v>674.982</v>
      </c>
      <c r="N117" s="12" t="n">
        <f aca="false">L117-M117</f>
        <v>3824.898</v>
      </c>
      <c r="O117" s="12" t="n">
        <f aca="false">H117*I117</f>
        <v>2143.68</v>
      </c>
      <c r="P117" s="12" t="n">
        <f aca="false">N117-O117</f>
        <v>1681.218</v>
      </c>
      <c r="Q117" s="17" t="n">
        <f aca="false">IFERROR(P117/N117,0)</f>
        <v>0.439545838869429</v>
      </c>
    </row>
    <row r="118" customFormat="false" ht="15" hidden="false" customHeight="false" outlineLevel="0" collapsed="false">
      <c r="A118" s="8" t="s">
        <v>334</v>
      </c>
      <c r="B118" s="14" t="s">
        <v>335</v>
      </c>
      <c r="C118" s="8" t="str">
        <f aca="false">TEXT(B118,"mmm-yyyy")</f>
        <v>Jun-2025</v>
      </c>
      <c r="D118" s="8" t="s">
        <v>55</v>
      </c>
      <c r="E118" s="8" t="s">
        <v>51</v>
      </c>
      <c r="F118" s="8" t="s">
        <v>52</v>
      </c>
      <c r="G118" s="8" t="s">
        <v>47</v>
      </c>
      <c r="H118" s="8" t="n">
        <v>227</v>
      </c>
      <c r="I118" s="9" t="n">
        <v>68.79</v>
      </c>
      <c r="J118" s="9" t="n">
        <v>118.55</v>
      </c>
      <c r="K118" s="15" t="n">
        <v>0.05</v>
      </c>
      <c r="L118" s="9" t="n">
        <f aca="false">H118*J118</f>
        <v>26910.85</v>
      </c>
      <c r="M118" s="9" t="n">
        <f aca="false">L118*K118</f>
        <v>1345.5425</v>
      </c>
      <c r="N118" s="9" t="n">
        <f aca="false">L118-M118</f>
        <v>25565.3075</v>
      </c>
      <c r="O118" s="9" t="n">
        <f aca="false">H118*I118</f>
        <v>15615.33</v>
      </c>
      <c r="P118" s="9" t="n">
        <f aca="false">N118-O118</f>
        <v>9949.9775</v>
      </c>
      <c r="Q118" s="15" t="n">
        <f aca="false">IFERROR(P118/N118,0)</f>
        <v>0.389198428377988</v>
      </c>
    </row>
    <row r="119" customFormat="false" ht="15" hidden="false" customHeight="false" outlineLevel="0" collapsed="false">
      <c r="A119" s="11" t="s">
        <v>474</v>
      </c>
      <c r="B119" s="16" t="s">
        <v>475</v>
      </c>
      <c r="C119" s="11" t="str">
        <f aca="false">TEXT(B119,"mmm-yyyy")</f>
        <v>Jun-2025</v>
      </c>
      <c r="D119" s="11" t="s">
        <v>61</v>
      </c>
      <c r="E119" s="11" t="s">
        <v>41</v>
      </c>
      <c r="F119" s="11" t="s">
        <v>42</v>
      </c>
      <c r="G119" s="11" t="s">
        <v>43</v>
      </c>
      <c r="H119" s="11" t="n">
        <v>176</v>
      </c>
      <c r="I119" s="12" t="n">
        <v>22.03</v>
      </c>
      <c r="J119" s="12" t="n">
        <v>43.54</v>
      </c>
      <c r="K119" s="17" t="n">
        <v>0.05</v>
      </c>
      <c r="L119" s="12" t="n">
        <f aca="false">H119*J119</f>
        <v>7663.04</v>
      </c>
      <c r="M119" s="12" t="n">
        <f aca="false">L119*K119</f>
        <v>383.152</v>
      </c>
      <c r="N119" s="12" t="n">
        <f aca="false">L119-M119</f>
        <v>7279.888</v>
      </c>
      <c r="O119" s="12" t="n">
        <f aca="false">H119*I119</f>
        <v>3877.28</v>
      </c>
      <c r="P119" s="12" t="n">
        <f aca="false">N119-O119</f>
        <v>3402.608</v>
      </c>
      <c r="Q119" s="17" t="n">
        <f aca="false">IFERROR(P119/N119,0)</f>
        <v>0.467398399535817</v>
      </c>
    </row>
    <row r="120" customFormat="false" ht="15" hidden="false" customHeight="false" outlineLevel="0" collapsed="false">
      <c r="A120" s="8" t="s">
        <v>93</v>
      </c>
      <c r="B120" s="14" t="s">
        <v>94</v>
      </c>
      <c r="C120" s="8" t="str">
        <f aca="false">TEXT(B120,"mmm-yyyy")</f>
        <v>Jun-2025</v>
      </c>
      <c r="D120" s="8" t="s">
        <v>61</v>
      </c>
      <c r="E120" s="8" t="s">
        <v>51</v>
      </c>
      <c r="F120" s="8" t="s">
        <v>52</v>
      </c>
      <c r="G120" s="8" t="s">
        <v>47</v>
      </c>
      <c r="H120" s="8" t="n">
        <v>137</v>
      </c>
      <c r="I120" s="9" t="n">
        <v>70.62</v>
      </c>
      <c r="J120" s="9" t="n">
        <v>114.83</v>
      </c>
      <c r="K120" s="15" t="n">
        <v>0</v>
      </c>
      <c r="L120" s="9" t="n">
        <f aca="false">H120*J120</f>
        <v>15731.71</v>
      </c>
      <c r="M120" s="9" t="n">
        <f aca="false">L120*K120</f>
        <v>0</v>
      </c>
      <c r="N120" s="9" t="n">
        <f aca="false">L120-M120</f>
        <v>15731.71</v>
      </c>
      <c r="O120" s="9" t="n">
        <f aca="false">H120*I120</f>
        <v>9674.94</v>
      </c>
      <c r="P120" s="9" t="n">
        <f aca="false">N120-O120</f>
        <v>6056.77</v>
      </c>
      <c r="Q120" s="15" t="n">
        <f aca="false">IFERROR(P120/N120,0)</f>
        <v>0.385003918836541</v>
      </c>
    </row>
    <row r="121" customFormat="false" ht="15" hidden="false" customHeight="false" outlineLevel="0" collapsed="false">
      <c r="A121" s="11" t="s">
        <v>206</v>
      </c>
      <c r="B121" s="16" t="s">
        <v>94</v>
      </c>
      <c r="C121" s="11" t="str">
        <f aca="false">TEXT(B121,"mmm-yyyy")</f>
        <v>Jun-2025</v>
      </c>
      <c r="D121" s="11" t="s">
        <v>61</v>
      </c>
      <c r="E121" s="11" t="s">
        <v>56</v>
      </c>
      <c r="F121" s="11" t="s">
        <v>52</v>
      </c>
      <c r="G121" s="11" t="s">
        <v>43</v>
      </c>
      <c r="H121" s="11" t="n">
        <v>188</v>
      </c>
      <c r="I121" s="12" t="n">
        <v>49.8</v>
      </c>
      <c r="J121" s="12" t="n">
        <v>84.92</v>
      </c>
      <c r="K121" s="17" t="n">
        <v>0.05</v>
      </c>
      <c r="L121" s="12" t="n">
        <f aca="false">H121*J121</f>
        <v>15964.96</v>
      </c>
      <c r="M121" s="12" t="n">
        <f aca="false">L121*K121</f>
        <v>798.248</v>
      </c>
      <c r="N121" s="12" t="n">
        <f aca="false">L121-M121</f>
        <v>15166.712</v>
      </c>
      <c r="O121" s="12" t="n">
        <f aca="false">H121*I121</f>
        <v>9362.4</v>
      </c>
      <c r="P121" s="12" t="n">
        <f aca="false">N121-O121</f>
        <v>5804.312</v>
      </c>
      <c r="Q121" s="17" t="n">
        <f aca="false">IFERROR(P121/N121,0)</f>
        <v>0.382700746213154</v>
      </c>
    </row>
    <row r="122" customFormat="false" ht="15" hidden="false" customHeight="false" outlineLevel="0" collapsed="false">
      <c r="A122" s="8" t="s">
        <v>470</v>
      </c>
      <c r="B122" s="14" t="s">
        <v>94</v>
      </c>
      <c r="C122" s="8" t="str">
        <f aca="false">TEXT(B122,"mmm-yyyy")</f>
        <v>Jun-2025</v>
      </c>
      <c r="D122" s="8" t="s">
        <v>61</v>
      </c>
      <c r="E122" s="8" t="s">
        <v>114</v>
      </c>
      <c r="F122" s="8" t="s">
        <v>73</v>
      </c>
      <c r="G122" s="8" t="s">
        <v>47</v>
      </c>
      <c r="H122" s="8" t="n">
        <v>208</v>
      </c>
      <c r="I122" s="9" t="n">
        <v>14.23</v>
      </c>
      <c r="J122" s="9" t="n">
        <v>31.26</v>
      </c>
      <c r="K122" s="15" t="n">
        <v>0.1</v>
      </c>
      <c r="L122" s="9" t="n">
        <f aca="false">H122*J122</f>
        <v>6502.08</v>
      </c>
      <c r="M122" s="9" t="n">
        <f aca="false">L122*K122</f>
        <v>650.208</v>
      </c>
      <c r="N122" s="9" t="n">
        <f aca="false">L122-M122</f>
        <v>5851.872</v>
      </c>
      <c r="O122" s="9" t="n">
        <f aca="false">H122*I122</f>
        <v>2959.84</v>
      </c>
      <c r="P122" s="9" t="n">
        <f aca="false">N122-O122</f>
        <v>2892.032</v>
      </c>
      <c r="Q122" s="15" t="n">
        <f aca="false">IFERROR(P122/N122,0)</f>
        <v>0.494206298428947</v>
      </c>
    </row>
    <row r="123" customFormat="false" ht="15" hidden="false" customHeight="false" outlineLevel="0" collapsed="false">
      <c r="A123" s="11" t="s">
        <v>235</v>
      </c>
      <c r="B123" s="16" t="s">
        <v>94</v>
      </c>
      <c r="C123" s="11" t="str">
        <f aca="false">TEXT(B123,"mmm-yyyy")</f>
        <v>Jun-2025</v>
      </c>
      <c r="D123" s="11" t="s">
        <v>55</v>
      </c>
      <c r="E123" s="11" t="s">
        <v>56</v>
      </c>
      <c r="F123" s="11" t="s">
        <v>52</v>
      </c>
      <c r="G123" s="11" t="s">
        <v>47</v>
      </c>
      <c r="H123" s="11" t="n">
        <v>248</v>
      </c>
      <c r="I123" s="12" t="n">
        <v>49.33</v>
      </c>
      <c r="J123" s="12" t="n">
        <v>88.23</v>
      </c>
      <c r="K123" s="17" t="n">
        <v>0.1</v>
      </c>
      <c r="L123" s="12" t="n">
        <f aca="false">H123*J123</f>
        <v>21881.04</v>
      </c>
      <c r="M123" s="12" t="n">
        <f aca="false">L123*K123</f>
        <v>2188.104</v>
      </c>
      <c r="N123" s="12" t="n">
        <f aca="false">L123-M123</f>
        <v>19692.936</v>
      </c>
      <c r="O123" s="12" t="n">
        <f aca="false">H123*I123</f>
        <v>12233.84</v>
      </c>
      <c r="P123" s="12" t="n">
        <f aca="false">N123-O123</f>
        <v>7459.096</v>
      </c>
      <c r="Q123" s="17" t="n">
        <f aca="false">IFERROR(P123/N123,0)</f>
        <v>0.378770133615424</v>
      </c>
    </row>
    <row r="124" customFormat="false" ht="15" hidden="false" customHeight="false" outlineLevel="0" collapsed="false">
      <c r="A124" s="8" t="s">
        <v>459</v>
      </c>
      <c r="B124" s="14" t="s">
        <v>271</v>
      </c>
      <c r="C124" s="8" t="str">
        <f aca="false">TEXT(B124,"mmm-yyyy")</f>
        <v>Jul-2025</v>
      </c>
      <c r="D124" s="8" t="s">
        <v>46</v>
      </c>
      <c r="E124" s="8" t="s">
        <v>72</v>
      </c>
      <c r="F124" s="8" t="s">
        <v>73</v>
      </c>
      <c r="G124" s="8" t="s">
        <v>47</v>
      </c>
      <c r="H124" s="8" t="n">
        <v>231</v>
      </c>
      <c r="I124" s="9" t="n">
        <v>28.54</v>
      </c>
      <c r="J124" s="9" t="n">
        <v>59.87</v>
      </c>
      <c r="K124" s="15" t="n">
        <v>0.1</v>
      </c>
      <c r="L124" s="9" t="n">
        <f aca="false">H124*J124</f>
        <v>13829.97</v>
      </c>
      <c r="M124" s="9" t="n">
        <f aca="false">L124*K124</f>
        <v>1382.997</v>
      </c>
      <c r="N124" s="9" t="n">
        <f aca="false">L124-M124</f>
        <v>12446.973</v>
      </c>
      <c r="O124" s="9" t="n">
        <f aca="false">H124*I124</f>
        <v>6592.74</v>
      </c>
      <c r="P124" s="9" t="n">
        <f aca="false">N124-O124</f>
        <v>5854.233</v>
      </c>
      <c r="Q124" s="15" t="n">
        <f aca="false">IFERROR(P124/N124,0)</f>
        <v>0.470333871536477</v>
      </c>
    </row>
    <row r="125" customFormat="false" ht="15" hidden="false" customHeight="false" outlineLevel="0" collapsed="false">
      <c r="A125" s="11" t="s">
        <v>270</v>
      </c>
      <c r="B125" s="16" t="s">
        <v>271</v>
      </c>
      <c r="C125" s="11" t="str">
        <f aca="false">TEXT(B125,"mmm-yyyy")</f>
        <v>Jul-2025</v>
      </c>
      <c r="D125" s="11" t="s">
        <v>40</v>
      </c>
      <c r="E125" s="11" t="s">
        <v>114</v>
      </c>
      <c r="F125" s="11" t="s">
        <v>73</v>
      </c>
      <c r="G125" s="11" t="s">
        <v>69</v>
      </c>
      <c r="H125" s="11" t="n">
        <v>224</v>
      </c>
      <c r="I125" s="12" t="n">
        <v>14.12</v>
      </c>
      <c r="J125" s="12" t="n">
        <v>30.13</v>
      </c>
      <c r="K125" s="17" t="n">
        <v>0.05</v>
      </c>
      <c r="L125" s="12" t="n">
        <f aca="false">H125*J125</f>
        <v>6749.12</v>
      </c>
      <c r="M125" s="12" t="n">
        <f aca="false">L125*K125</f>
        <v>337.456</v>
      </c>
      <c r="N125" s="12" t="n">
        <f aca="false">L125-M125</f>
        <v>6411.664</v>
      </c>
      <c r="O125" s="12" t="n">
        <f aca="false">H125*I125</f>
        <v>3162.88</v>
      </c>
      <c r="P125" s="12" t="n">
        <f aca="false">N125-O125</f>
        <v>3248.784</v>
      </c>
      <c r="Q125" s="17" t="n">
        <f aca="false">IFERROR(P125/N125,0)</f>
        <v>0.506699040997782</v>
      </c>
    </row>
    <row r="126" customFormat="false" ht="15" hidden="false" customHeight="false" outlineLevel="0" collapsed="false">
      <c r="A126" s="8" t="s">
        <v>384</v>
      </c>
      <c r="B126" s="14" t="s">
        <v>223</v>
      </c>
      <c r="C126" s="8" t="str">
        <f aca="false">TEXT(B126,"mmm-yyyy")</f>
        <v>Jul-2025</v>
      </c>
      <c r="D126" s="8" t="s">
        <v>61</v>
      </c>
      <c r="E126" s="8" t="s">
        <v>114</v>
      </c>
      <c r="F126" s="8" t="s">
        <v>73</v>
      </c>
      <c r="G126" s="8" t="s">
        <v>43</v>
      </c>
      <c r="H126" s="8" t="n">
        <v>153</v>
      </c>
      <c r="I126" s="9" t="n">
        <v>14.1</v>
      </c>
      <c r="J126" s="9" t="n">
        <v>29.42</v>
      </c>
      <c r="K126" s="15" t="n">
        <v>0.15</v>
      </c>
      <c r="L126" s="9" t="n">
        <f aca="false">H126*J126</f>
        <v>4501.26</v>
      </c>
      <c r="M126" s="9" t="n">
        <f aca="false">L126*K126</f>
        <v>675.189</v>
      </c>
      <c r="N126" s="9" t="n">
        <f aca="false">L126-M126</f>
        <v>3826.071</v>
      </c>
      <c r="O126" s="9" t="n">
        <f aca="false">H126*I126</f>
        <v>2157.3</v>
      </c>
      <c r="P126" s="9" t="n">
        <f aca="false">N126-O126</f>
        <v>1668.771</v>
      </c>
      <c r="Q126" s="15" t="n">
        <f aca="false">IFERROR(P126/N126,0)</f>
        <v>0.436157875794778</v>
      </c>
    </row>
    <row r="127" customFormat="false" ht="15" hidden="false" customHeight="false" outlineLevel="0" collapsed="false">
      <c r="A127" s="11" t="s">
        <v>222</v>
      </c>
      <c r="B127" s="16" t="s">
        <v>223</v>
      </c>
      <c r="C127" s="11" t="str">
        <f aca="false">TEXT(B127,"mmm-yyyy")</f>
        <v>Jul-2025</v>
      </c>
      <c r="D127" s="11" t="s">
        <v>55</v>
      </c>
      <c r="E127" s="11" t="s">
        <v>41</v>
      </c>
      <c r="F127" s="11" t="s">
        <v>42</v>
      </c>
      <c r="G127" s="11" t="s">
        <v>47</v>
      </c>
      <c r="H127" s="11" t="n">
        <v>237</v>
      </c>
      <c r="I127" s="12" t="n">
        <v>21.5</v>
      </c>
      <c r="J127" s="12" t="n">
        <v>43.88</v>
      </c>
      <c r="K127" s="17" t="n">
        <v>0</v>
      </c>
      <c r="L127" s="12" t="n">
        <f aca="false">H127*J127</f>
        <v>10399.56</v>
      </c>
      <c r="M127" s="12" t="n">
        <f aca="false">L127*K127</f>
        <v>0</v>
      </c>
      <c r="N127" s="12" t="n">
        <f aca="false">L127-M127</f>
        <v>10399.56</v>
      </c>
      <c r="O127" s="12" t="n">
        <f aca="false">H127*I127</f>
        <v>5095.5</v>
      </c>
      <c r="P127" s="12" t="n">
        <f aca="false">N127-O127</f>
        <v>5304.06</v>
      </c>
      <c r="Q127" s="17" t="n">
        <f aca="false">IFERROR(P127/N127,0)</f>
        <v>0.510027347310848</v>
      </c>
    </row>
    <row r="128" customFormat="false" ht="15" hidden="false" customHeight="false" outlineLevel="0" collapsed="false">
      <c r="A128" s="8" t="s">
        <v>302</v>
      </c>
      <c r="B128" s="14" t="s">
        <v>223</v>
      </c>
      <c r="C128" s="8" t="str">
        <f aca="false">TEXT(B128,"mmm-yyyy")</f>
        <v>Jul-2025</v>
      </c>
      <c r="D128" s="8" t="s">
        <v>55</v>
      </c>
      <c r="E128" s="8" t="s">
        <v>72</v>
      </c>
      <c r="F128" s="8" t="s">
        <v>73</v>
      </c>
      <c r="G128" s="8" t="s">
        <v>47</v>
      </c>
      <c r="H128" s="8" t="n">
        <v>247</v>
      </c>
      <c r="I128" s="9" t="n">
        <v>28.44</v>
      </c>
      <c r="J128" s="9" t="n">
        <v>60.54</v>
      </c>
      <c r="K128" s="15" t="n">
        <v>0.15</v>
      </c>
      <c r="L128" s="9" t="n">
        <f aca="false">H128*J128</f>
        <v>14953.38</v>
      </c>
      <c r="M128" s="9" t="n">
        <f aca="false">L128*K128</f>
        <v>2243.007</v>
      </c>
      <c r="N128" s="9" t="n">
        <f aca="false">L128-M128</f>
        <v>12710.373</v>
      </c>
      <c r="O128" s="9" t="n">
        <f aca="false">H128*I128</f>
        <v>7024.68</v>
      </c>
      <c r="P128" s="9" t="n">
        <f aca="false">N128-O128</f>
        <v>5685.693</v>
      </c>
      <c r="Q128" s="15" t="n">
        <f aca="false">IFERROR(P128/N128,0)</f>
        <v>0.447326998192736</v>
      </c>
    </row>
    <row r="129" customFormat="false" ht="15" hidden="false" customHeight="false" outlineLevel="0" collapsed="false">
      <c r="A129" s="11" t="s">
        <v>385</v>
      </c>
      <c r="B129" s="16" t="s">
        <v>386</v>
      </c>
      <c r="C129" s="11" t="str">
        <f aca="false">TEXT(B129,"mmm-yyyy")</f>
        <v>Jul-2025</v>
      </c>
      <c r="D129" s="11" t="s">
        <v>61</v>
      </c>
      <c r="E129" s="11" t="s">
        <v>72</v>
      </c>
      <c r="F129" s="11" t="s">
        <v>73</v>
      </c>
      <c r="G129" s="11" t="s">
        <v>69</v>
      </c>
      <c r="H129" s="11" t="n">
        <v>236</v>
      </c>
      <c r="I129" s="12" t="n">
        <v>28.27</v>
      </c>
      <c r="J129" s="12" t="n">
        <v>58.27</v>
      </c>
      <c r="K129" s="17" t="n">
        <v>0</v>
      </c>
      <c r="L129" s="12" t="n">
        <f aca="false">H129*J129</f>
        <v>13751.72</v>
      </c>
      <c r="M129" s="12" t="n">
        <f aca="false">L129*K129</f>
        <v>0</v>
      </c>
      <c r="N129" s="12" t="n">
        <f aca="false">L129-M129</f>
        <v>13751.72</v>
      </c>
      <c r="O129" s="12" t="n">
        <f aca="false">H129*I129</f>
        <v>6671.72</v>
      </c>
      <c r="P129" s="12" t="n">
        <f aca="false">N129-O129</f>
        <v>7080</v>
      </c>
      <c r="Q129" s="17" t="n">
        <f aca="false">IFERROR(P129/N129,0)</f>
        <v>0.514844688518964</v>
      </c>
    </row>
    <row r="130" customFormat="false" ht="15" hidden="false" customHeight="false" outlineLevel="0" collapsed="false">
      <c r="A130" s="8" t="s">
        <v>256</v>
      </c>
      <c r="B130" s="14" t="s">
        <v>257</v>
      </c>
      <c r="C130" s="8" t="str">
        <f aca="false">TEXT(B130,"mmm-yyyy")</f>
        <v>Jul-2025</v>
      </c>
      <c r="D130" s="8" t="s">
        <v>55</v>
      </c>
      <c r="E130" s="8" t="s">
        <v>114</v>
      </c>
      <c r="F130" s="8" t="s">
        <v>73</v>
      </c>
      <c r="G130" s="8" t="s">
        <v>69</v>
      </c>
      <c r="H130" s="8" t="n">
        <v>208</v>
      </c>
      <c r="I130" s="9" t="n">
        <v>14.38</v>
      </c>
      <c r="J130" s="9" t="n">
        <v>30.73</v>
      </c>
      <c r="K130" s="15" t="n">
        <v>0</v>
      </c>
      <c r="L130" s="9" t="n">
        <f aca="false">H130*J130</f>
        <v>6391.84</v>
      </c>
      <c r="M130" s="9" t="n">
        <f aca="false">L130*K130</f>
        <v>0</v>
      </c>
      <c r="N130" s="9" t="n">
        <f aca="false">L130-M130</f>
        <v>6391.84</v>
      </c>
      <c r="O130" s="9" t="n">
        <f aca="false">H130*I130</f>
        <v>2991.04</v>
      </c>
      <c r="P130" s="9" t="n">
        <f aca="false">N130-O130</f>
        <v>3400.8</v>
      </c>
      <c r="Q130" s="15" t="n">
        <f aca="false">IFERROR(P130/N130,0)</f>
        <v>0.532053368044256</v>
      </c>
    </row>
    <row r="131" customFormat="false" ht="15" hidden="false" customHeight="false" outlineLevel="0" collapsed="false">
      <c r="A131" s="11" t="s">
        <v>314</v>
      </c>
      <c r="B131" s="16" t="s">
        <v>315</v>
      </c>
      <c r="C131" s="11" t="str">
        <f aca="false">TEXT(B131,"mmm-yyyy")</f>
        <v>Jul-2025</v>
      </c>
      <c r="D131" s="11" t="s">
        <v>61</v>
      </c>
      <c r="E131" s="11" t="s">
        <v>51</v>
      </c>
      <c r="F131" s="11" t="s">
        <v>52</v>
      </c>
      <c r="G131" s="11" t="s">
        <v>69</v>
      </c>
      <c r="H131" s="11" t="n">
        <v>144</v>
      </c>
      <c r="I131" s="12" t="n">
        <v>71.31</v>
      </c>
      <c r="J131" s="12" t="n">
        <v>115.82</v>
      </c>
      <c r="K131" s="17" t="n">
        <v>0.05</v>
      </c>
      <c r="L131" s="12" t="n">
        <f aca="false">H131*J131</f>
        <v>16678.08</v>
      </c>
      <c r="M131" s="12" t="n">
        <f aca="false">L131*K131</f>
        <v>833.904</v>
      </c>
      <c r="N131" s="12" t="n">
        <f aca="false">L131-M131</f>
        <v>15844.176</v>
      </c>
      <c r="O131" s="12" t="n">
        <f aca="false">H131*I131</f>
        <v>10268.64</v>
      </c>
      <c r="P131" s="12" t="n">
        <f aca="false">N131-O131</f>
        <v>5575.536</v>
      </c>
      <c r="Q131" s="17" t="n">
        <f aca="false">IFERROR(P131/N131,0)</f>
        <v>0.351898135945978</v>
      </c>
    </row>
    <row r="132" customFormat="false" ht="15" hidden="false" customHeight="false" outlineLevel="0" collapsed="false">
      <c r="A132" s="8" t="s">
        <v>272</v>
      </c>
      <c r="B132" s="14" t="s">
        <v>273</v>
      </c>
      <c r="C132" s="8" t="str">
        <f aca="false">TEXT(B132,"mmm-yyyy")</f>
        <v>Jul-2025</v>
      </c>
      <c r="D132" s="8" t="s">
        <v>46</v>
      </c>
      <c r="E132" s="8" t="s">
        <v>51</v>
      </c>
      <c r="F132" s="8" t="s">
        <v>52</v>
      </c>
      <c r="G132" s="8" t="s">
        <v>69</v>
      </c>
      <c r="H132" s="8" t="n">
        <v>187</v>
      </c>
      <c r="I132" s="9" t="n">
        <v>69.14</v>
      </c>
      <c r="J132" s="9" t="n">
        <v>123.99</v>
      </c>
      <c r="K132" s="15" t="n">
        <v>0.05</v>
      </c>
      <c r="L132" s="9" t="n">
        <f aca="false">H132*J132</f>
        <v>23186.13</v>
      </c>
      <c r="M132" s="9" t="n">
        <f aca="false">L132*K132</f>
        <v>1159.3065</v>
      </c>
      <c r="N132" s="9" t="n">
        <f aca="false">L132-M132</f>
        <v>22026.8235</v>
      </c>
      <c r="O132" s="9" t="n">
        <f aca="false">H132*I132</f>
        <v>12929.18</v>
      </c>
      <c r="P132" s="9" t="n">
        <f aca="false">N132-O132</f>
        <v>9097.6435</v>
      </c>
      <c r="Q132" s="15" t="n">
        <f aca="false">IFERROR(P132/N132,0)</f>
        <v>0.413025668453738</v>
      </c>
    </row>
    <row r="133" customFormat="false" ht="15" hidden="false" customHeight="false" outlineLevel="0" collapsed="false">
      <c r="A133" s="11" t="s">
        <v>408</v>
      </c>
      <c r="B133" s="16" t="s">
        <v>409</v>
      </c>
      <c r="C133" s="11" t="str">
        <f aca="false">TEXT(B133,"mmm-yyyy")</f>
        <v>Jul-2025</v>
      </c>
      <c r="D133" s="11" t="s">
        <v>55</v>
      </c>
      <c r="E133" s="11" t="s">
        <v>56</v>
      </c>
      <c r="F133" s="11" t="s">
        <v>52</v>
      </c>
      <c r="G133" s="11" t="s">
        <v>47</v>
      </c>
      <c r="H133" s="11" t="n">
        <v>304</v>
      </c>
      <c r="I133" s="12" t="n">
        <v>49.78</v>
      </c>
      <c r="J133" s="12" t="n">
        <v>85.26</v>
      </c>
      <c r="K133" s="17" t="n">
        <v>0.15</v>
      </c>
      <c r="L133" s="12" t="n">
        <f aca="false">H133*J133</f>
        <v>25919.04</v>
      </c>
      <c r="M133" s="12" t="n">
        <f aca="false">L133*K133</f>
        <v>3887.856</v>
      </c>
      <c r="N133" s="12" t="n">
        <f aca="false">L133-M133</f>
        <v>22031.184</v>
      </c>
      <c r="O133" s="12" t="n">
        <f aca="false">H133*I133</f>
        <v>15133.12</v>
      </c>
      <c r="P133" s="12" t="n">
        <f aca="false">N133-O133</f>
        <v>6898.064</v>
      </c>
      <c r="Q133" s="17" t="n">
        <f aca="false">IFERROR(P133/N133,0)</f>
        <v>0.313104552165694</v>
      </c>
    </row>
    <row r="134" customFormat="false" ht="15" hidden="false" customHeight="false" outlineLevel="0" collapsed="false">
      <c r="A134" s="8" t="s">
        <v>227</v>
      </c>
      <c r="B134" s="14" t="s">
        <v>228</v>
      </c>
      <c r="C134" s="8" t="str">
        <f aca="false">TEXT(B134,"mmm-yyyy")</f>
        <v>Jul-2025</v>
      </c>
      <c r="D134" s="8" t="s">
        <v>61</v>
      </c>
      <c r="E134" s="8" t="s">
        <v>41</v>
      </c>
      <c r="F134" s="8" t="s">
        <v>42</v>
      </c>
      <c r="G134" s="8" t="s">
        <v>43</v>
      </c>
      <c r="H134" s="8" t="n">
        <v>148</v>
      </c>
      <c r="I134" s="9" t="n">
        <v>22.54</v>
      </c>
      <c r="J134" s="9" t="n">
        <v>44.46</v>
      </c>
      <c r="K134" s="15" t="n">
        <v>0.05</v>
      </c>
      <c r="L134" s="9" t="n">
        <f aca="false">H134*J134</f>
        <v>6580.08</v>
      </c>
      <c r="M134" s="9" t="n">
        <f aca="false">L134*K134</f>
        <v>329.004</v>
      </c>
      <c r="N134" s="9" t="n">
        <f aca="false">L134-M134</f>
        <v>6251.076</v>
      </c>
      <c r="O134" s="9" t="n">
        <f aca="false">H134*I134</f>
        <v>3335.92</v>
      </c>
      <c r="P134" s="9" t="n">
        <f aca="false">N134-O134</f>
        <v>2915.156</v>
      </c>
      <c r="Q134" s="15" t="n">
        <f aca="false">IFERROR(P134/N134,0)</f>
        <v>0.466344674100907</v>
      </c>
    </row>
    <row r="135" customFormat="false" ht="15" hidden="false" customHeight="false" outlineLevel="0" collapsed="false">
      <c r="A135" s="11" t="s">
        <v>471</v>
      </c>
      <c r="B135" s="16" t="s">
        <v>472</v>
      </c>
      <c r="C135" s="11" t="str">
        <f aca="false">TEXT(B135,"mmm-yyyy")</f>
        <v>Jul-2025</v>
      </c>
      <c r="D135" s="11" t="s">
        <v>55</v>
      </c>
      <c r="E135" s="11" t="s">
        <v>51</v>
      </c>
      <c r="F135" s="11" t="s">
        <v>52</v>
      </c>
      <c r="G135" s="11" t="s">
        <v>47</v>
      </c>
      <c r="H135" s="11" t="n">
        <v>234</v>
      </c>
      <c r="I135" s="12" t="n">
        <v>70.69</v>
      </c>
      <c r="J135" s="12" t="n">
        <v>116.92</v>
      </c>
      <c r="K135" s="17" t="n">
        <v>0.05</v>
      </c>
      <c r="L135" s="12" t="n">
        <f aca="false">H135*J135</f>
        <v>27359.28</v>
      </c>
      <c r="M135" s="12" t="n">
        <f aca="false">L135*K135</f>
        <v>1367.964</v>
      </c>
      <c r="N135" s="12" t="n">
        <f aca="false">L135-M135</f>
        <v>25991.316</v>
      </c>
      <c r="O135" s="12" t="n">
        <f aca="false">H135*I135</f>
        <v>16541.46</v>
      </c>
      <c r="P135" s="12" t="n">
        <f aca="false">N135-O135</f>
        <v>9449.856</v>
      </c>
      <c r="Q135" s="17" t="n">
        <f aca="false">IFERROR(P135/N135,0)</f>
        <v>0.363577434863244</v>
      </c>
    </row>
    <row r="136" customFormat="false" ht="15" hidden="false" customHeight="false" outlineLevel="0" collapsed="false">
      <c r="A136" s="8" t="s">
        <v>99</v>
      </c>
      <c r="B136" s="14" t="s">
        <v>100</v>
      </c>
      <c r="C136" s="8" t="str">
        <f aca="false">TEXT(B136,"mmm-yyyy")</f>
        <v>Jul-2025</v>
      </c>
      <c r="D136" s="8" t="s">
        <v>40</v>
      </c>
      <c r="E136" s="8" t="s">
        <v>56</v>
      </c>
      <c r="F136" s="8" t="s">
        <v>52</v>
      </c>
      <c r="G136" s="8" t="s">
        <v>69</v>
      </c>
      <c r="H136" s="8" t="n">
        <v>156</v>
      </c>
      <c r="I136" s="9" t="n">
        <v>50.62</v>
      </c>
      <c r="J136" s="9" t="n">
        <v>82.72</v>
      </c>
      <c r="K136" s="15" t="n">
        <v>0.1</v>
      </c>
      <c r="L136" s="9" t="n">
        <f aca="false">H136*J136</f>
        <v>12904.32</v>
      </c>
      <c r="M136" s="9" t="n">
        <f aca="false">L136*K136</f>
        <v>1290.432</v>
      </c>
      <c r="N136" s="9" t="n">
        <f aca="false">L136-M136</f>
        <v>11613.888</v>
      </c>
      <c r="O136" s="9" t="n">
        <f aca="false">H136*I136</f>
        <v>7896.72</v>
      </c>
      <c r="P136" s="9" t="n">
        <f aca="false">N136-O136</f>
        <v>3717.168</v>
      </c>
      <c r="Q136" s="15" t="n">
        <f aca="false">IFERROR(P136/N136,0)</f>
        <v>0.320062325381474</v>
      </c>
    </row>
    <row r="137" customFormat="false" ht="15" hidden="false" customHeight="false" outlineLevel="0" collapsed="false">
      <c r="A137" s="11" t="s">
        <v>204</v>
      </c>
      <c r="B137" s="16" t="s">
        <v>106</v>
      </c>
      <c r="C137" s="11" t="str">
        <f aca="false">TEXT(B137,"mmm-yyyy")</f>
        <v>Jul-2025</v>
      </c>
      <c r="D137" s="11" t="s">
        <v>46</v>
      </c>
      <c r="E137" s="11" t="s">
        <v>56</v>
      </c>
      <c r="F137" s="11" t="s">
        <v>52</v>
      </c>
      <c r="G137" s="11" t="s">
        <v>47</v>
      </c>
      <c r="H137" s="11" t="n">
        <v>291</v>
      </c>
      <c r="I137" s="12" t="n">
        <v>51.42</v>
      </c>
      <c r="J137" s="12" t="n">
        <v>83.08</v>
      </c>
      <c r="K137" s="17" t="n">
        <v>0.15</v>
      </c>
      <c r="L137" s="12" t="n">
        <f aca="false">H137*J137</f>
        <v>24176.28</v>
      </c>
      <c r="M137" s="12" t="n">
        <f aca="false">L137*K137</f>
        <v>3626.442</v>
      </c>
      <c r="N137" s="12" t="n">
        <f aca="false">L137-M137</f>
        <v>20549.838</v>
      </c>
      <c r="O137" s="12" t="n">
        <f aca="false">H137*I137</f>
        <v>14963.22</v>
      </c>
      <c r="P137" s="12" t="n">
        <f aca="false">N137-O137</f>
        <v>5586.618</v>
      </c>
      <c r="Q137" s="17" t="n">
        <f aca="false">IFERROR(P137/N137,0)</f>
        <v>0.271857033617491</v>
      </c>
    </row>
    <row r="138" customFormat="false" ht="15" hidden="false" customHeight="false" outlineLevel="0" collapsed="false">
      <c r="A138" s="8" t="s">
        <v>105</v>
      </c>
      <c r="B138" s="14" t="s">
        <v>106</v>
      </c>
      <c r="C138" s="8" t="str">
        <f aca="false">TEXT(B138,"mmm-yyyy")</f>
        <v>Jul-2025</v>
      </c>
      <c r="D138" s="8" t="s">
        <v>40</v>
      </c>
      <c r="E138" s="8" t="s">
        <v>51</v>
      </c>
      <c r="F138" s="8" t="s">
        <v>52</v>
      </c>
      <c r="G138" s="8" t="s">
        <v>47</v>
      </c>
      <c r="H138" s="8" t="n">
        <v>176</v>
      </c>
      <c r="I138" s="9" t="n">
        <v>68.56</v>
      </c>
      <c r="J138" s="9" t="n">
        <v>120.62</v>
      </c>
      <c r="K138" s="15" t="n">
        <v>0.1</v>
      </c>
      <c r="L138" s="9" t="n">
        <f aca="false">H138*J138</f>
        <v>21229.12</v>
      </c>
      <c r="M138" s="9" t="n">
        <f aca="false">L138*K138</f>
        <v>2122.912</v>
      </c>
      <c r="N138" s="9" t="n">
        <f aca="false">L138-M138</f>
        <v>19106.208</v>
      </c>
      <c r="O138" s="9" t="n">
        <f aca="false">H138*I138</f>
        <v>12066.56</v>
      </c>
      <c r="P138" s="9" t="n">
        <f aca="false">N138-O138</f>
        <v>7039.648</v>
      </c>
      <c r="Q138" s="15" t="n">
        <f aca="false">IFERROR(P138/N138,0)</f>
        <v>0.368448202804031</v>
      </c>
    </row>
    <row r="139" customFormat="false" ht="15" hidden="false" customHeight="false" outlineLevel="0" collapsed="false">
      <c r="A139" s="11" t="s">
        <v>59</v>
      </c>
      <c r="B139" s="16" t="s">
        <v>60</v>
      </c>
      <c r="C139" s="11" t="str">
        <f aca="false">TEXT(B139,"mmm-yyyy")</f>
        <v>Jul-2025</v>
      </c>
      <c r="D139" s="11" t="s">
        <v>61</v>
      </c>
      <c r="E139" s="11" t="s">
        <v>56</v>
      </c>
      <c r="F139" s="11" t="s">
        <v>52</v>
      </c>
      <c r="G139" s="11" t="s">
        <v>43</v>
      </c>
      <c r="H139" s="11" t="n">
        <v>174</v>
      </c>
      <c r="I139" s="12" t="n">
        <v>50.79</v>
      </c>
      <c r="J139" s="12" t="n">
        <v>81.76</v>
      </c>
      <c r="K139" s="17" t="n">
        <v>0.15</v>
      </c>
      <c r="L139" s="12" t="n">
        <f aca="false">H139*J139</f>
        <v>14226.24</v>
      </c>
      <c r="M139" s="12" t="n">
        <f aca="false">L139*K139</f>
        <v>2133.936</v>
      </c>
      <c r="N139" s="12" t="n">
        <f aca="false">L139-M139</f>
        <v>12092.304</v>
      </c>
      <c r="O139" s="12" t="n">
        <f aca="false">H139*I139</f>
        <v>8837.46</v>
      </c>
      <c r="P139" s="12" t="n">
        <f aca="false">N139-O139</f>
        <v>3254.844</v>
      </c>
      <c r="Q139" s="17" t="n">
        <f aca="false">IFERROR(P139/N139,0)</f>
        <v>0.269166570737884</v>
      </c>
    </row>
    <row r="140" customFormat="false" ht="15" hidden="false" customHeight="false" outlineLevel="0" collapsed="false">
      <c r="A140" s="8" t="s">
        <v>237</v>
      </c>
      <c r="B140" s="14" t="s">
        <v>60</v>
      </c>
      <c r="C140" s="8" t="str">
        <f aca="false">TEXT(B140,"mmm-yyyy")</f>
        <v>Jul-2025</v>
      </c>
      <c r="D140" s="8" t="s">
        <v>40</v>
      </c>
      <c r="E140" s="8" t="s">
        <v>41</v>
      </c>
      <c r="F140" s="8" t="s">
        <v>42</v>
      </c>
      <c r="G140" s="8" t="s">
        <v>43</v>
      </c>
      <c r="H140" s="8" t="n">
        <v>166</v>
      </c>
      <c r="I140" s="9" t="n">
        <v>21.69</v>
      </c>
      <c r="J140" s="9" t="n">
        <v>43.8</v>
      </c>
      <c r="K140" s="15" t="n">
        <v>0.15</v>
      </c>
      <c r="L140" s="9" t="n">
        <f aca="false">H140*J140</f>
        <v>7270.8</v>
      </c>
      <c r="M140" s="9" t="n">
        <f aca="false">L140*K140</f>
        <v>1090.62</v>
      </c>
      <c r="N140" s="9" t="n">
        <f aca="false">L140-M140</f>
        <v>6180.18</v>
      </c>
      <c r="O140" s="9" t="n">
        <f aca="false">H140*I140</f>
        <v>3600.54</v>
      </c>
      <c r="P140" s="9" t="n">
        <f aca="false">N140-O140</f>
        <v>2579.64</v>
      </c>
      <c r="Q140" s="15" t="n">
        <f aca="false">IFERROR(P140/N140,0)</f>
        <v>0.4174053182917</v>
      </c>
    </row>
    <row r="141" customFormat="false" ht="15" hidden="false" customHeight="false" outlineLevel="0" collapsed="false">
      <c r="A141" s="11" t="s">
        <v>244</v>
      </c>
      <c r="B141" s="16" t="s">
        <v>245</v>
      </c>
      <c r="C141" s="11" t="str">
        <f aca="false">TEXT(B141,"mmm-yyyy")</f>
        <v>Jul-2025</v>
      </c>
      <c r="D141" s="11" t="s">
        <v>40</v>
      </c>
      <c r="E141" s="11" t="s">
        <v>72</v>
      </c>
      <c r="F141" s="11" t="s">
        <v>73</v>
      </c>
      <c r="G141" s="11" t="s">
        <v>43</v>
      </c>
      <c r="H141" s="11" t="n">
        <v>167</v>
      </c>
      <c r="I141" s="12" t="n">
        <v>28.49</v>
      </c>
      <c r="J141" s="12" t="n">
        <v>57.36</v>
      </c>
      <c r="K141" s="17" t="n">
        <v>0.15</v>
      </c>
      <c r="L141" s="12" t="n">
        <f aca="false">H141*J141</f>
        <v>9579.12</v>
      </c>
      <c r="M141" s="12" t="n">
        <f aca="false">L141*K141</f>
        <v>1436.868</v>
      </c>
      <c r="N141" s="12" t="n">
        <f aca="false">L141-M141</f>
        <v>8142.252</v>
      </c>
      <c r="O141" s="12" t="n">
        <f aca="false">H141*I141</f>
        <v>4757.83</v>
      </c>
      <c r="P141" s="12" t="n">
        <f aca="false">N141-O141</f>
        <v>3384.422</v>
      </c>
      <c r="Q141" s="17" t="n">
        <f aca="false">IFERROR(P141/N141,0)</f>
        <v>0.415661662154402</v>
      </c>
    </row>
    <row r="142" customFormat="false" ht="15" hidden="false" customHeight="false" outlineLevel="0" collapsed="false">
      <c r="A142" s="8" t="s">
        <v>197</v>
      </c>
      <c r="B142" s="14" t="s">
        <v>198</v>
      </c>
      <c r="C142" s="8" t="str">
        <f aca="false">TEXT(B142,"mmm-yyyy")</f>
        <v>Jul-2025</v>
      </c>
      <c r="D142" s="8" t="s">
        <v>46</v>
      </c>
      <c r="E142" s="8" t="s">
        <v>41</v>
      </c>
      <c r="F142" s="8" t="s">
        <v>42</v>
      </c>
      <c r="G142" s="8" t="s">
        <v>69</v>
      </c>
      <c r="H142" s="8" t="n">
        <v>234</v>
      </c>
      <c r="I142" s="9" t="n">
        <v>22.18</v>
      </c>
      <c r="J142" s="9" t="n">
        <v>47</v>
      </c>
      <c r="K142" s="15" t="n">
        <v>0.1</v>
      </c>
      <c r="L142" s="9" t="n">
        <f aca="false">H142*J142</f>
        <v>10998</v>
      </c>
      <c r="M142" s="9" t="n">
        <f aca="false">L142*K142</f>
        <v>1099.8</v>
      </c>
      <c r="N142" s="9" t="n">
        <f aca="false">L142-M142</f>
        <v>9898.2</v>
      </c>
      <c r="O142" s="9" t="n">
        <f aca="false">H142*I142</f>
        <v>5190.12</v>
      </c>
      <c r="P142" s="9" t="n">
        <f aca="false">N142-O142</f>
        <v>4708.08</v>
      </c>
      <c r="Q142" s="15" t="n">
        <f aca="false">IFERROR(P142/N142,0)</f>
        <v>0.47565011820331</v>
      </c>
    </row>
    <row r="143" customFormat="false" ht="15" hidden="false" customHeight="false" outlineLevel="0" collapsed="false">
      <c r="A143" s="11" t="s">
        <v>407</v>
      </c>
      <c r="B143" s="16" t="s">
        <v>198</v>
      </c>
      <c r="C143" s="11" t="str">
        <f aca="false">TEXT(B143,"mmm-yyyy")</f>
        <v>Jul-2025</v>
      </c>
      <c r="D143" s="11" t="s">
        <v>46</v>
      </c>
      <c r="E143" s="11" t="s">
        <v>114</v>
      </c>
      <c r="F143" s="11" t="s">
        <v>73</v>
      </c>
      <c r="G143" s="11" t="s">
        <v>47</v>
      </c>
      <c r="H143" s="11" t="n">
        <v>270</v>
      </c>
      <c r="I143" s="12" t="n">
        <v>13.87</v>
      </c>
      <c r="J143" s="12" t="n">
        <v>29.94</v>
      </c>
      <c r="K143" s="17" t="n">
        <v>0</v>
      </c>
      <c r="L143" s="12" t="n">
        <f aca="false">H143*J143</f>
        <v>8083.8</v>
      </c>
      <c r="M143" s="12" t="n">
        <f aca="false">L143*K143</f>
        <v>0</v>
      </c>
      <c r="N143" s="12" t="n">
        <f aca="false">L143-M143</f>
        <v>8083.8</v>
      </c>
      <c r="O143" s="12" t="n">
        <f aca="false">H143*I143</f>
        <v>3744.9</v>
      </c>
      <c r="P143" s="12" t="n">
        <f aca="false">N143-O143</f>
        <v>4338.9</v>
      </c>
      <c r="Q143" s="17" t="n">
        <f aca="false">IFERROR(P143/N143,0)</f>
        <v>0.536740146960588</v>
      </c>
    </row>
    <row r="144" customFormat="false" ht="15" hidden="false" customHeight="false" outlineLevel="0" collapsed="false">
      <c r="A144" s="8" t="s">
        <v>462</v>
      </c>
      <c r="B144" s="14" t="s">
        <v>354</v>
      </c>
      <c r="C144" s="8" t="str">
        <f aca="false">TEXT(B144,"mmm-yyyy")</f>
        <v>Aug-2025</v>
      </c>
      <c r="D144" s="8" t="s">
        <v>61</v>
      </c>
      <c r="E144" s="8" t="s">
        <v>56</v>
      </c>
      <c r="F144" s="8" t="s">
        <v>52</v>
      </c>
      <c r="G144" s="8" t="s">
        <v>69</v>
      </c>
      <c r="H144" s="8" t="n">
        <v>272</v>
      </c>
      <c r="I144" s="9" t="n">
        <v>49.36</v>
      </c>
      <c r="J144" s="9" t="n">
        <v>81.86</v>
      </c>
      <c r="K144" s="15" t="n">
        <v>0.1</v>
      </c>
      <c r="L144" s="9" t="n">
        <f aca="false">H144*J144</f>
        <v>22265.92</v>
      </c>
      <c r="M144" s="9" t="n">
        <f aca="false">L144*K144</f>
        <v>2226.592</v>
      </c>
      <c r="N144" s="9" t="n">
        <f aca="false">L144-M144</f>
        <v>20039.328</v>
      </c>
      <c r="O144" s="9" t="n">
        <f aca="false">H144*I144</f>
        <v>13425.92</v>
      </c>
      <c r="P144" s="9" t="n">
        <f aca="false">N144-O144</f>
        <v>6613.408</v>
      </c>
      <c r="Q144" s="15" t="n">
        <f aca="false">IFERROR(P144/N144,0)</f>
        <v>0.330021445828922</v>
      </c>
    </row>
    <row r="145" customFormat="false" ht="15" hidden="false" customHeight="false" outlineLevel="0" collapsed="false">
      <c r="A145" s="11" t="s">
        <v>353</v>
      </c>
      <c r="B145" s="16" t="s">
        <v>354</v>
      </c>
      <c r="C145" s="11" t="str">
        <f aca="false">TEXT(B145,"mmm-yyyy")</f>
        <v>Aug-2025</v>
      </c>
      <c r="D145" s="11" t="s">
        <v>55</v>
      </c>
      <c r="E145" s="11" t="s">
        <v>41</v>
      </c>
      <c r="F145" s="11" t="s">
        <v>42</v>
      </c>
      <c r="G145" s="11" t="s">
        <v>43</v>
      </c>
      <c r="H145" s="11" t="n">
        <v>249</v>
      </c>
      <c r="I145" s="12" t="n">
        <v>21.64</v>
      </c>
      <c r="J145" s="12" t="n">
        <v>42.87</v>
      </c>
      <c r="K145" s="17" t="n">
        <v>0.15</v>
      </c>
      <c r="L145" s="12" t="n">
        <f aca="false">H145*J145</f>
        <v>10674.63</v>
      </c>
      <c r="M145" s="12" t="n">
        <f aca="false">L145*K145</f>
        <v>1601.1945</v>
      </c>
      <c r="N145" s="12" t="n">
        <f aca="false">L145-M145</f>
        <v>9073.4355</v>
      </c>
      <c r="O145" s="12" t="n">
        <f aca="false">H145*I145</f>
        <v>5388.36</v>
      </c>
      <c r="P145" s="12" t="n">
        <f aca="false">N145-O145</f>
        <v>3685.0755</v>
      </c>
      <c r="Q145" s="17" t="n">
        <f aca="false">IFERROR(P145/N145,0)</f>
        <v>0.406138942630936</v>
      </c>
    </row>
    <row r="146" customFormat="false" ht="15" hidden="false" customHeight="false" outlineLevel="0" collapsed="false">
      <c r="A146" s="8" t="s">
        <v>325</v>
      </c>
      <c r="B146" s="14" t="s">
        <v>326</v>
      </c>
      <c r="C146" s="8" t="str">
        <f aca="false">TEXT(B146,"mmm-yyyy")</f>
        <v>Aug-2025</v>
      </c>
      <c r="D146" s="8" t="s">
        <v>55</v>
      </c>
      <c r="E146" s="8" t="s">
        <v>114</v>
      </c>
      <c r="F146" s="8" t="s">
        <v>73</v>
      </c>
      <c r="G146" s="8" t="s">
        <v>43</v>
      </c>
      <c r="H146" s="8" t="n">
        <v>179</v>
      </c>
      <c r="I146" s="9" t="n">
        <v>14.14</v>
      </c>
      <c r="J146" s="9" t="n">
        <v>31.5</v>
      </c>
      <c r="K146" s="15" t="n">
        <v>0.05</v>
      </c>
      <c r="L146" s="9" t="n">
        <f aca="false">H146*J146</f>
        <v>5638.5</v>
      </c>
      <c r="M146" s="9" t="n">
        <f aca="false">L146*K146</f>
        <v>281.925</v>
      </c>
      <c r="N146" s="9" t="n">
        <f aca="false">L146-M146</f>
        <v>5356.575</v>
      </c>
      <c r="O146" s="9" t="n">
        <f aca="false">H146*I146</f>
        <v>2531.06</v>
      </c>
      <c r="P146" s="9" t="n">
        <f aca="false">N146-O146</f>
        <v>2825.515</v>
      </c>
      <c r="Q146" s="15" t="n">
        <f aca="false">IFERROR(P146/N146,0)</f>
        <v>0.527485380116959</v>
      </c>
    </row>
    <row r="147" customFormat="false" ht="15" hidden="false" customHeight="false" outlineLevel="0" collapsed="false">
      <c r="A147" s="11" t="s">
        <v>366</v>
      </c>
      <c r="B147" s="16" t="s">
        <v>367</v>
      </c>
      <c r="C147" s="11" t="str">
        <f aca="false">TEXT(B147,"mmm-yyyy")</f>
        <v>Aug-2025</v>
      </c>
      <c r="D147" s="11" t="s">
        <v>61</v>
      </c>
      <c r="E147" s="11" t="s">
        <v>114</v>
      </c>
      <c r="F147" s="11" t="s">
        <v>73</v>
      </c>
      <c r="G147" s="11" t="s">
        <v>47</v>
      </c>
      <c r="H147" s="11" t="n">
        <v>201</v>
      </c>
      <c r="I147" s="12" t="n">
        <v>13.77</v>
      </c>
      <c r="J147" s="12" t="n">
        <v>29.72</v>
      </c>
      <c r="K147" s="17" t="n">
        <v>0</v>
      </c>
      <c r="L147" s="12" t="n">
        <f aca="false">H147*J147</f>
        <v>5973.72</v>
      </c>
      <c r="M147" s="12" t="n">
        <f aca="false">L147*K147</f>
        <v>0</v>
      </c>
      <c r="N147" s="12" t="n">
        <f aca="false">L147-M147</f>
        <v>5973.72</v>
      </c>
      <c r="O147" s="12" t="n">
        <f aca="false">H147*I147</f>
        <v>2767.77</v>
      </c>
      <c r="P147" s="12" t="n">
        <f aca="false">N147-O147</f>
        <v>3205.95</v>
      </c>
      <c r="Q147" s="17" t="n">
        <f aca="false">IFERROR(P147/N147,0)</f>
        <v>0.536675639300135</v>
      </c>
    </row>
    <row r="148" customFormat="false" ht="15" hidden="false" customHeight="false" outlineLevel="0" collapsed="false">
      <c r="A148" s="8" t="s">
        <v>327</v>
      </c>
      <c r="B148" s="14" t="s">
        <v>328</v>
      </c>
      <c r="C148" s="8" t="str">
        <f aca="false">TEXT(B148,"mmm-yyyy")</f>
        <v>Aug-2025</v>
      </c>
      <c r="D148" s="8" t="s">
        <v>40</v>
      </c>
      <c r="E148" s="8" t="s">
        <v>51</v>
      </c>
      <c r="F148" s="8" t="s">
        <v>52</v>
      </c>
      <c r="G148" s="8" t="s">
        <v>43</v>
      </c>
      <c r="H148" s="8" t="n">
        <v>170</v>
      </c>
      <c r="I148" s="9" t="n">
        <v>69.88</v>
      </c>
      <c r="J148" s="9" t="n">
        <v>119.79</v>
      </c>
      <c r="K148" s="15" t="n">
        <v>0.1</v>
      </c>
      <c r="L148" s="9" t="n">
        <f aca="false">H148*J148</f>
        <v>20364.3</v>
      </c>
      <c r="M148" s="9" t="n">
        <f aca="false">L148*K148</f>
        <v>2036.43</v>
      </c>
      <c r="N148" s="9" t="n">
        <f aca="false">L148-M148</f>
        <v>18327.87</v>
      </c>
      <c r="O148" s="9" t="n">
        <f aca="false">H148*I148</f>
        <v>11879.6</v>
      </c>
      <c r="P148" s="9" t="n">
        <f aca="false">N148-O148</f>
        <v>6448.27</v>
      </c>
      <c r="Q148" s="15" t="n">
        <f aca="false">IFERROR(P148/N148,0)</f>
        <v>0.351828663123429</v>
      </c>
    </row>
    <row r="149" customFormat="false" ht="15" hidden="false" customHeight="false" outlineLevel="0" collapsed="false">
      <c r="A149" s="11" t="s">
        <v>62</v>
      </c>
      <c r="B149" s="16" t="s">
        <v>63</v>
      </c>
      <c r="C149" s="11" t="str">
        <f aca="false">TEXT(B149,"mmm-yyyy")</f>
        <v>Aug-2025</v>
      </c>
      <c r="D149" s="11" t="s">
        <v>46</v>
      </c>
      <c r="E149" s="11" t="s">
        <v>51</v>
      </c>
      <c r="F149" s="11" t="s">
        <v>52</v>
      </c>
      <c r="G149" s="11" t="s">
        <v>47</v>
      </c>
      <c r="H149" s="11" t="n">
        <v>202</v>
      </c>
      <c r="I149" s="12" t="n">
        <v>71.32</v>
      </c>
      <c r="J149" s="12" t="n">
        <v>119.23</v>
      </c>
      <c r="K149" s="17" t="n">
        <v>0</v>
      </c>
      <c r="L149" s="12" t="n">
        <f aca="false">H149*J149</f>
        <v>24084.46</v>
      </c>
      <c r="M149" s="12" t="n">
        <f aca="false">L149*K149</f>
        <v>0</v>
      </c>
      <c r="N149" s="12" t="n">
        <f aca="false">L149-M149</f>
        <v>24084.46</v>
      </c>
      <c r="O149" s="12" t="n">
        <f aca="false">H149*I149</f>
        <v>14406.64</v>
      </c>
      <c r="P149" s="12" t="n">
        <f aca="false">N149-O149</f>
        <v>9677.82</v>
      </c>
      <c r="Q149" s="17" t="n">
        <f aca="false">IFERROR(P149/N149,0)</f>
        <v>0.401828398892896</v>
      </c>
    </row>
    <row r="150" customFormat="false" ht="15" hidden="false" customHeight="false" outlineLevel="0" collapsed="false">
      <c r="A150" s="8" t="s">
        <v>260</v>
      </c>
      <c r="B150" s="14" t="s">
        <v>261</v>
      </c>
      <c r="C150" s="8" t="str">
        <f aca="false">TEXT(B150,"mmm-yyyy")</f>
        <v>Aug-2025</v>
      </c>
      <c r="D150" s="8" t="s">
        <v>40</v>
      </c>
      <c r="E150" s="8" t="s">
        <v>72</v>
      </c>
      <c r="F150" s="8" t="s">
        <v>73</v>
      </c>
      <c r="G150" s="8" t="s">
        <v>43</v>
      </c>
      <c r="H150" s="8" t="n">
        <v>190</v>
      </c>
      <c r="I150" s="9" t="n">
        <v>27.74</v>
      </c>
      <c r="J150" s="9" t="n">
        <v>60.23</v>
      </c>
      <c r="K150" s="15" t="n">
        <v>0.15</v>
      </c>
      <c r="L150" s="9" t="n">
        <f aca="false">H150*J150</f>
        <v>11443.7</v>
      </c>
      <c r="M150" s="9" t="n">
        <f aca="false">L150*K150</f>
        <v>1716.555</v>
      </c>
      <c r="N150" s="9" t="n">
        <f aca="false">L150-M150</f>
        <v>9727.145</v>
      </c>
      <c r="O150" s="9" t="n">
        <f aca="false">H150*I150</f>
        <v>5270.6</v>
      </c>
      <c r="P150" s="9" t="n">
        <f aca="false">N150-O150</f>
        <v>4456.545</v>
      </c>
      <c r="Q150" s="15" t="n">
        <f aca="false">IFERROR(P150/N150,0)</f>
        <v>0.458155501948413</v>
      </c>
    </row>
    <row r="151" customFormat="false" ht="15" hidden="false" customHeight="false" outlineLevel="0" collapsed="false">
      <c r="A151" s="11" t="s">
        <v>427</v>
      </c>
      <c r="B151" s="16" t="s">
        <v>428</v>
      </c>
      <c r="C151" s="11" t="str">
        <f aca="false">TEXT(B151,"mmm-yyyy")</f>
        <v>Aug-2025</v>
      </c>
      <c r="D151" s="11" t="s">
        <v>55</v>
      </c>
      <c r="E151" s="11" t="s">
        <v>56</v>
      </c>
      <c r="F151" s="11" t="s">
        <v>52</v>
      </c>
      <c r="G151" s="11" t="s">
        <v>69</v>
      </c>
      <c r="H151" s="11" t="n">
        <v>236</v>
      </c>
      <c r="I151" s="12" t="n">
        <v>49.81</v>
      </c>
      <c r="J151" s="12" t="n">
        <v>85.34</v>
      </c>
      <c r="K151" s="17" t="n">
        <v>0.15</v>
      </c>
      <c r="L151" s="12" t="n">
        <f aca="false">H151*J151</f>
        <v>20140.24</v>
      </c>
      <c r="M151" s="12" t="n">
        <f aca="false">L151*K151</f>
        <v>3021.036</v>
      </c>
      <c r="N151" s="12" t="n">
        <f aca="false">L151-M151</f>
        <v>17119.204</v>
      </c>
      <c r="O151" s="12" t="n">
        <f aca="false">H151*I151</f>
        <v>11755.16</v>
      </c>
      <c r="P151" s="12" t="n">
        <f aca="false">N151-O151</f>
        <v>5364.044</v>
      </c>
      <c r="Q151" s="17" t="n">
        <f aca="false">IFERROR(P151/N151,0)</f>
        <v>0.313334895711273</v>
      </c>
    </row>
    <row r="152" customFormat="false" ht="15" hidden="false" customHeight="false" outlineLevel="0" collapsed="false">
      <c r="A152" s="8" t="s">
        <v>276</v>
      </c>
      <c r="B152" s="14" t="s">
        <v>140</v>
      </c>
      <c r="C152" s="8" t="str">
        <f aca="false">TEXT(B152,"mmm-yyyy")</f>
        <v>Aug-2025</v>
      </c>
      <c r="D152" s="8" t="s">
        <v>46</v>
      </c>
      <c r="E152" s="8" t="s">
        <v>41</v>
      </c>
      <c r="F152" s="8" t="s">
        <v>42</v>
      </c>
      <c r="G152" s="8" t="s">
        <v>69</v>
      </c>
      <c r="H152" s="8" t="n">
        <v>259</v>
      </c>
      <c r="I152" s="9" t="n">
        <v>22.59</v>
      </c>
      <c r="J152" s="9" t="n">
        <v>44.05</v>
      </c>
      <c r="K152" s="15" t="n">
        <v>0.15</v>
      </c>
      <c r="L152" s="9" t="n">
        <f aca="false">H152*J152</f>
        <v>11408.95</v>
      </c>
      <c r="M152" s="9" t="n">
        <f aca="false">L152*K152</f>
        <v>1711.3425</v>
      </c>
      <c r="N152" s="9" t="n">
        <f aca="false">L152-M152</f>
        <v>9697.6075</v>
      </c>
      <c r="O152" s="9" t="n">
        <f aca="false">H152*I152</f>
        <v>5850.81</v>
      </c>
      <c r="P152" s="9" t="n">
        <f aca="false">N152-O152</f>
        <v>3846.7975</v>
      </c>
      <c r="Q152" s="15" t="n">
        <f aca="false">IFERROR(P152/N152,0)</f>
        <v>0.396674901515657</v>
      </c>
    </row>
    <row r="153" customFormat="false" ht="15" hidden="false" customHeight="false" outlineLevel="0" collapsed="false">
      <c r="A153" s="11" t="s">
        <v>139</v>
      </c>
      <c r="B153" s="16" t="s">
        <v>140</v>
      </c>
      <c r="C153" s="11" t="str">
        <f aca="false">TEXT(B153,"mmm-yyyy")</f>
        <v>Aug-2025</v>
      </c>
      <c r="D153" s="11" t="s">
        <v>40</v>
      </c>
      <c r="E153" s="11" t="s">
        <v>114</v>
      </c>
      <c r="F153" s="11" t="s">
        <v>73</v>
      </c>
      <c r="G153" s="11" t="s">
        <v>69</v>
      </c>
      <c r="H153" s="11" t="n">
        <v>257</v>
      </c>
      <c r="I153" s="12" t="n">
        <v>14.07</v>
      </c>
      <c r="J153" s="12" t="n">
        <v>31.01</v>
      </c>
      <c r="K153" s="17" t="n">
        <v>0.1</v>
      </c>
      <c r="L153" s="12" t="n">
        <f aca="false">H153*J153</f>
        <v>7969.57</v>
      </c>
      <c r="M153" s="12" t="n">
        <f aca="false">L153*K153</f>
        <v>796.957</v>
      </c>
      <c r="N153" s="12" t="n">
        <f aca="false">L153-M153</f>
        <v>7172.613</v>
      </c>
      <c r="O153" s="12" t="n">
        <f aca="false">H153*I153</f>
        <v>3615.99</v>
      </c>
      <c r="P153" s="12" t="n">
        <f aca="false">N153-O153</f>
        <v>3556.623</v>
      </c>
      <c r="Q153" s="17" t="n">
        <f aca="false">IFERROR(P153/N153,0)</f>
        <v>0.495861550037622</v>
      </c>
    </row>
    <row r="154" customFormat="false" ht="15" hidden="false" customHeight="false" outlineLevel="0" collapsed="false">
      <c r="A154" s="8" t="s">
        <v>418</v>
      </c>
      <c r="B154" s="14" t="s">
        <v>419</v>
      </c>
      <c r="C154" s="8" t="str">
        <f aca="false">TEXT(B154,"mmm-yyyy")</f>
        <v>Aug-2025</v>
      </c>
      <c r="D154" s="8" t="s">
        <v>46</v>
      </c>
      <c r="E154" s="8" t="s">
        <v>56</v>
      </c>
      <c r="F154" s="8" t="s">
        <v>52</v>
      </c>
      <c r="G154" s="8" t="s">
        <v>43</v>
      </c>
      <c r="H154" s="8" t="n">
        <v>195</v>
      </c>
      <c r="I154" s="9" t="n">
        <v>48.98</v>
      </c>
      <c r="J154" s="9" t="n">
        <v>81.64</v>
      </c>
      <c r="K154" s="15" t="n">
        <v>0.1</v>
      </c>
      <c r="L154" s="9" t="n">
        <f aca="false">H154*J154</f>
        <v>15919.8</v>
      </c>
      <c r="M154" s="9" t="n">
        <f aca="false">L154*K154</f>
        <v>1591.98</v>
      </c>
      <c r="N154" s="9" t="n">
        <f aca="false">L154-M154</f>
        <v>14327.82</v>
      </c>
      <c r="O154" s="9" t="n">
        <f aca="false">H154*I154</f>
        <v>9551.1</v>
      </c>
      <c r="P154" s="9" t="n">
        <f aca="false">N154-O154</f>
        <v>4776.72</v>
      </c>
      <c r="Q154" s="15" t="n">
        <f aca="false">IFERROR(P154/N154,0)</f>
        <v>0.333387772878219</v>
      </c>
    </row>
    <row r="155" customFormat="false" ht="15" hidden="false" customHeight="false" outlineLevel="0" collapsed="false">
      <c r="A155" s="11" t="s">
        <v>339</v>
      </c>
      <c r="B155" s="16" t="s">
        <v>278</v>
      </c>
      <c r="C155" s="11" t="str">
        <f aca="false">TEXT(B155,"mmm-yyyy")</f>
        <v>Aug-2025</v>
      </c>
      <c r="D155" s="11" t="s">
        <v>46</v>
      </c>
      <c r="E155" s="11" t="s">
        <v>72</v>
      </c>
      <c r="F155" s="11" t="s">
        <v>73</v>
      </c>
      <c r="G155" s="11" t="s">
        <v>69</v>
      </c>
      <c r="H155" s="11" t="n">
        <v>255</v>
      </c>
      <c r="I155" s="12" t="n">
        <v>27.94</v>
      </c>
      <c r="J155" s="12" t="n">
        <v>62.22</v>
      </c>
      <c r="K155" s="17" t="n">
        <v>0</v>
      </c>
      <c r="L155" s="12" t="n">
        <f aca="false">H155*J155</f>
        <v>15866.1</v>
      </c>
      <c r="M155" s="12" t="n">
        <f aca="false">L155*K155</f>
        <v>0</v>
      </c>
      <c r="N155" s="12" t="n">
        <f aca="false">L155-M155</f>
        <v>15866.1</v>
      </c>
      <c r="O155" s="12" t="n">
        <f aca="false">H155*I155</f>
        <v>7124.7</v>
      </c>
      <c r="P155" s="12" t="n">
        <f aca="false">N155-O155</f>
        <v>8741.4</v>
      </c>
      <c r="Q155" s="17" t="n">
        <f aca="false">IFERROR(P155/N155,0)</f>
        <v>0.55094824815172</v>
      </c>
    </row>
    <row r="156" customFormat="false" ht="15" hidden="false" customHeight="false" outlineLevel="0" collapsed="false">
      <c r="A156" s="8" t="s">
        <v>277</v>
      </c>
      <c r="B156" s="14" t="s">
        <v>278</v>
      </c>
      <c r="C156" s="8" t="str">
        <f aca="false">TEXT(B156,"mmm-yyyy")</f>
        <v>Aug-2025</v>
      </c>
      <c r="D156" s="8" t="s">
        <v>55</v>
      </c>
      <c r="E156" s="8" t="s">
        <v>51</v>
      </c>
      <c r="F156" s="8" t="s">
        <v>52</v>
      </c>
      <c r="G156" s="8" t="s">
        <v>47</v>
      </c>
      <c r="H156" s="8" t="n">
        <v>213</v>
      </c>
      <c r="I156" s="9" t="n">
        <v>70.79</v>
      </c>
      <c r="J156" s="9" t="n">
        <v>115.49</v>
      </c>
      <c r="K156" s="15" t="n">
        <v>0.1</v>
      </c>
      <c r="L156" s="9" t="n">
        <f aca="false">H156*J156</f>
        <v>24599.37</v>
      </c>
      <c r="M156" s="9" t="n">
        <f aca="false">L156*K156</f>
        <v>2459.937</v>
      </c>
      <c r="N156" s="9" t="n">
        <f aca="false">L156-M156</f>
        <v>22139.433</v>
      </c>
      <c r="O156" s="9" t="n">
        <f aca="false">H156*I156</f>
        <v>15078.27</v>
      </c>
      <c r="P156" s="9" t="n">
        <f aca="false">N156-O156</f>
        <v>7061.163</v>
      </c>
      <c r="Q156" s="15" t="n">
        <f aca="false">IFERROR(P156/N156,0)</f>
        <v>0.318940552813615</v>
      </c>
    </row>
    <row r="157" customFormat="false" ht="15" hidden="false" customHeight="false" outlineLevel="0" collapsed="false">
      <c r="A157" s="11" t="s">
        <v>307</v>
      </c>
      <c r="B157" s="16" t="s">
        <v>308</v>
      </c>
      <c r="C157" s="11" t="str">
        <f aca="false">TEXT(B157,"mmm-yyyy")</f>
        <v>Aug-2025</v>
      </c>
      <c r="D157" s="11" t="s">
        <v>61</v>
      </c>
      <c r="E157" s="11" t="s">
        <v>51</v>
      </c>
      <c r="F157" s="11" t="s">
        <v>52</v>
      </c>
      <c r="G157" s="11" t="s">
        <v>47</v>
      </c>
      <c r="H157" s="11" t="n">
        <v>160</v>
      </c>
      <c r="I157" s="12" t="n">
        <v>71.09</v>
      </c>
      <c r="J157" s="12" t="n">
        <v>121.5</v>
      </c>
      <c r="K157" s="17" t="n">
        <v>0</v>
      </c>
      <c r="L157" s="12" t="n">
        <f aca="false">H157*J157</f>
        <v>19440</v>
      </c>
      <c r="M157" s="12" t="n">
        <f aca="false">L157*K157</f>
        <v>0</v>
      </c>
      <c r="N157" s="12" t="n">
        <f aca="false">L157-M157</f>
        <v>19440</v>
      </c>
      <c r="O157" s="12" t="n">
        <f aca="false">H157*I157</f>
        <v>11374.4</v>
      </c>
      <c r="P157" s="12" t="n">
        <f aca="false">N157-O157</f>
        <v>8065.6</v>
      </c>
      <c r="Q157" s="17" t="n">
        <f aca="false">IFERROR(P157/N157,0)</f>
        <v>0.414897119341564</v>
      </c>
    </row>
    <row r="158" customFormat="false" ht="15" hidden="false" customHeight="false" outlineLevel="0" collapsed="false">
      <c r="A158" s="8" t="s">
        <v>435</v>
      </c>
      <c r="B158" s="14" t="s">
        <v>308</v>
      </c>
      <c r="C158" s="8" t="str">
        <f aca="false">TEXT(B158,"mmm-yyyy")</f>
        <v>Aug-2025</v>
      </c>
      <c r="D158" s="8" t="s">
        <v>61</v>
      </c>
      <c r="E158" s="8" t="s">
        <v>41</v>
      </c>
      <c r="F158" s="8" t="s">
        <v>42</v>
      </c>
      <c r="G158" s="8" t="s">
        <v>69</v>
      </c>
      <c r="H158" s="8" t="n">
        <v>275</v>
      </c>
      <c r="I158" s="9" t="n">
        <v>21.55</v>
      </c>
      <c r="J158" s="9" t="n">
        <v>43.83</v>
      </c>
      <c r="K158" s="15" t="n">
        <v>0.15</v>
      </c>
      <c r="L158" s="9" t="n">
        <f aca="false">H158*J158</f>
        <v>12053.25</v>
      </c>
      <c r="M158" s="9" t="n">
        <f aca="false">L158*K158</f>
        <v>1807.9875</v>
      </c>
      <c r="N158" s="9" t="n">
        <f aca="false">L158-M158</f>
        <v>10245.2625</v>
      </c>
      <c r="O158" s="9" t="n">
        <f aca="false">H158*I158</f>
        <v>5926.25</v>
      </c>
      <c r="P158" s="9" t="n">
        <f aca="false">N158-O158</f>
        <v>4319.0125</v>
      </c>
      <c r="Q158" s="15" t="n">
        <f aca="false">IFERROR(P158/N158,0)</f>
        <v>0.421561917032385</v>
      </c>
    </row>
    <row r="159" customFormat="false" ht="15" hidden="false" customHeight="false" outlineLevel="0" collapsed="false">
      <c r="A159" s="11" t="s">
        <v>258</v>
      </c>
      <c r="B159" s="16" t="s">
        <v>259</v>
      </c>
      <c r="C159" s="11" t="str">
        <f aca="false">TEXT(B159,"mmm-yyyy")</f>
        <v>Aug-2025</v>
      </c>
      <c r="D159" s="11" t="s">
        <v>55</v>
      </c>
      <c r="E159" s="11" t="s">
        <v>72</v>
      </c>
      <c r="F159" s="11" t="s">
        <v>73</v>
      </c>
      <c r="G159" s="11" t="s">
        <v>69</v>
      </c>
      <c r="H159" s="11" t="n">
        <v>259</v>
      </c>
      <c r="I159" s="12" t="n">
        <v>27.9</v>
      </c>
      <c r="J159" s="12" t="n">
        <v>60.11</v>
      </c>
      <c r="K159" s="17" t="n">
        <v>0.05</v>
      </c>
      <c r="L159" s="12" t="n">
        <f aca="false">H159*J159</f>
        <v>15568.49</v>
      </c>
      <c r="M159" s="12" t="n">
        <f aca="false">L159*K159</f>
        <v>778.4245</v>
      </c>
      <c r="N159" s="12" t="n">
        <f aca="false">L159-M159</f>
        <v>14790.0655</v>
      </c>
      <c r="O159" s="12" t="n">
        <f aca="false">H159*I159</f>
        <v>7226.1</v>
      </c>
      <c r="P159" s="12" t="n">
        <f aca="false">N159-O159</f>
        <v>7563.9655</v>
      </c>
      <c r="Q159" s="17" t="n">
        <f aca="false">IFERROR(P159/N159,0)</f>
        <v>0.511422042045723</v>
      </c>
    </row>
    <row r="160" customFormat="false" ht="15" hidden="false" customHeight="false" outlineLevel="0" collapsed="false">
      <c r="A160" s="8" t="s">
        <v>429</v>
      </c>
      <c r="B160" s="14" t="s">
        <v>430</v>
      </c>
      <c r="C160" s="8" t="str">
        <f aca="false">TEXT(B160,"mmm-yyyy")</f>
        <v>Aug-2025</v>
      </c>
      <c r="D160" s="8" t="s">
        <v>46</v>
      </c>
      <c r="E160" s="8" t="s">
        <v>114</v>
      </c>
      <c r="F160" s="8" t="s">
        <v>73</v>
      </c>
      <c r="G160" s="8" t="s">
        <v>69</v>
      </c>
      <c r="H160" s="8" t="n">
        <v>268</v>
      </c>
      <c r="I160" s="9" t="n">
        <v>14.23</v>
      </c>
      <c r="J160" s="9" t="n">
        <v>28.85</v>
      </c>
      <c r="K160" s="15" t="n">
        <v>0.15</v>
      </c>
      <c r="L160" s="9" t="n">
        <f aca="false">H160*J160</f>
        <v>7731.8</v>
      </c>
      <c r="M160" s="9" t="n">
        <f aca="false">L160*K160</f>
        <v>1159.77</v>
      </c>
      <c r="N160" s="9" t="n">
        <f aca="false">L160-M160</f>
        <v>6572.03</v>
      </c>
      <c r="O160" s="9" t="n">
        <f aca="false">H160*I160</f>
        <v>3813.64</v>
      </c>
      <c r="P160" s="9" t="n">
        <f aca="false">N160-O160</f>
        <v>2758.39</v>
      </c>
      <c r="Q160" s="15" t="n">
        <f aca="false">IFERROR(P160/N160,0)</f>
        <v>0.419716586808033</v>
      </c>
    </row>
    <row r="161" customFormat="false" ht="15" hidden="false" customHeight="false" outlineLevel="0" collapsed="false">
      <c r="A161" s="11" t="s">
        <v>382</v>
      </c>
      <c r="B161" s="16" t="s">
        <v>383</v>
      </c>
      <c r="C161" s="11" t="str">
        <f aca="false">TEXT(B161,"mmm-yyyy")</f>
        <v>Aug-2025</v>
      </c>
      <c r="D161" s="11" t="s">
        <v>40</v>
      </c>
      <c r="E161" s="11" t="s">
        <v>56</v>
      </c>
      <c r="F161" s="11" t="s">
        <v>52</v>
      </c>
      <c r="G161" s="11" t="s">
        <v>47</v>
      </c>
      <c r="H161" s="11" t="n">
        <v>118</v>
      </c>
      <c r="I161" s="12" t="n">
        <v>51.14</v>
      </c>
      <c r="J161" s="12" t="n">
        <v>85.07</v>
      </c>
      <c r="K161" s="17" t="n">
        <v>0</v>
      </c>
      <c r="L161" s="12" t="n">
        <f aca="false">H161*J161</f>
        <v>10038.26</v>
      </c>
      <c r="M161" s="12" t="n">
        <f aca="false">L161*K161</f>
        <v>0</v>
      </c>
      <c r="N161" s="12" t="n">
        <f aca="false">L161-M161</f>
        <v>10038.26</v>
      </c>
      <c r="O161" s="12" t="n">
        <f aca="false">H161*I161</f>
        <v>6034.52</v>
      </c>
      <c r="P161" s="12" t="n">
        <f aca="false">N161-O161</f>
        <v>4003.74</v>
      </c>
      <c r="Q161" s="17" t="n">
        <f aca="false">IFERROR(P161/N161,0)</f>
        <v>0.398848007523216</v>
      </c>
    </row>
    <row r="162" customFormat="false" ht="15" hidden="false" customHeight="false" outlineLevel="0" collapsed="false">
      <c r="A162" s="8" t="s">
        <v>410</v>
      </c>
      <c r="B162" s="14" t="s">
        <v>411</v>
      </c>
      <c r="C162" s="8" t="str">
        <f aca="false">TEXT(B162,"mmm-yyyy")</f>
        <v>Aug-2025</v>
      </c>
      <c r="D162" s="8" t="s">
        <v>61</v>
      </c>
      <c r="E162" s="8" t="s">
        <v>72</v>
      </c>
      <c r="F162" s="8" t="s">
        <v>73</v>
      </c>
      <c r="G162" s="8" t="s">
        <v>47</v>
      </c>
      <c r="H162" s="8" t="n">
        <v>195</v>
      </c>
      <c r="I162" s="9" t="n">
        <v>27.65</v>
      </c>
      <c r="J162" s="9" t="n">
        <v>62.6</v>
      </c>
      <c r="K162" s="15" t="n">
        <v>0.05</v>
      </c>
      <c r="L162" s="9" t="n">
        <f aca="false">H162*J162</f>
        <v>12207</v>
      </c>
      <c r="M162" s="9" t="n">
        <f aca="false">L162*K162</f>
        <v>610.35</v>
      </c>
      <c r="N162" s="9" t="n">
        <f aca="false">L162-M162</f>
        <v>11596.65</v>
      </c>
      <c r="O162" s="9" t="n">
        <f aca="false">H162*I162</f>
        <v>5391.75</v>
      </c>
      <c r="P162" s="9" t="n">
        <f aca="false">N162-O162</f>
        <v>6204.9</v>
      </c>
      <c r="Q162" s="15" t="n">
        <f aca="false">IFERROR(P162/N162,0)</f>
        <v>0.535059693963343</v>
      </c>
    </row>
    <row r="163" customFormat="false" ht="15" hidden="false" customHeight="false" outlineLevel="0" collapsed="false">
      <c r="A163" s="11" t="s">
        <v>436</v>
      </c>
      <c r="B163" s="16" t="s">
        <v>411</v>
      </c>
      <c r="C163" s="11" t="str">
        <f aca="false">TEXT(B163,"mmm-yyyy")</f>
        <v>Aug-2025</v>
      </c>
      <c r="D163" s="11" t="s">
        <v>40</v>
      </c>
      <c r="E163" s="11" t="s">
        <v>41</v>
      </c>
      <c r="F163" s="11" t="s">
        <v>42</v>
      </c>
      <c r="G163" s="11" t="s">
        <v>47</v>
      </c>
      <c r="H163" s="11" t="n">
        <v>253</v>
      </c>
      <c r="I163" s="12" t="n">
        <v>21.89</v>
      </c>
      <c r="J163" s="12" t="n">
        <v>46.31</v>
      </c>
      <c r="K163" s="17" t="n">
        <v>0.15</v>
      </c>
      <c r="L163" s="12" t="n">
        <f aca="false">H163*J163</f>
        <v>11716.43</v>
      </c>
      <c r="M163" s="12" t="n">
        <f aca="false">L163*K163</f>
        <v>1757.4645</v>
      </c>
      <c r="N163" s="12" t="n">
        <f aca="false">L163-M163</f>
        <v>9958.9655</v>
      </c>
      <c r="O163" s="12" t="n">
        <f aca="false">H163*I163</f>
        <v>5538.17</v>
      </c>
      <c r="P163" s="12" t="n">
        <f aca="false">N163-O163</f>
        <v>4420.7955</v>
      </c>
      <c r="Q163" s="17" t="n">
        <f aca="false">IFERROR(P163/N163,0)</f>
        <v>0.443901075869778</v>
      </c>
    </row>
    <row r="164" customFormat="false" ht="15" hidden="false" customHeight="false" outlineLevel="0" collapsed="false">
      <c r="A164" s="8" t="s">
        <v>158</v>
      </c>
      <c r="B164" s="14" t="s">
        <v>159</v>
      </c>
      <c r="C164" s="8" t="str">
        <f aca="false">TEXT(B164,"mmm-yyyy")</f>
        <v>Sep-2025</v>
      </c>
      <c r="D164" s="8" t="s">
        <v>40</v>
      </c>
      <c r="E164" s="8" t="s">
        <v>114</v>
      </c>
      <c r="F164" s="8" t="s">
        <v>73</v>
      </c>
      <c r="G164" s="8" t="s">
        <v>47</v>
      </c>
      <c r="H164" s="8" t="n">
        <v>175</v>
      </c>
      <c r="I164" s="9" t="n">
        <v>14.28</v>
      </c>
      <c r="J164" s="9" t="n">
        <v>28.57</v>
      </c>
      <c r="K164" s="15" t="n">
        <v>0.1</v>
      </c>
      <c r="L164" s="9" t="n">
        <f aca="false">H164*J164</f>
        <v>4999.75</v>
      </c>
      <c r="M164" s="9" t="n">
        <f aca="false">L164*K164</f>
        <v>499.975</v>
      </c>
      <c r="N164" s="9" t="n">
        <f aca="false">L164-M164</f>
        <v>4499.775</v>
      </c>
      <c r="O164" s="9" t="n">
        <f aca="false">H164*I164</f>
        <v>2499</v>
      </c>
      <c r="P164" s="9" t="n">
        <f aca="false">N164-O164</f>
        <v>2000.775</v>
      </c>
      <c r="Q164" s="15" t="n">
        <f aca="false">IFERROR(P164/N164,0)</f>
        <v>0.444638898611597</v>
      </c>
    </row>
    <row r="165" customFormat="false" ht="15" hidden="false" customHeight="false" outlineLevel="0" collapsed="false">
      <c r="A165" s="11" t="s">
        <v>216</v>
      </c>
      <c r="B165" s="16" t="s">
        <v>217</v>
      </c>
      <c r="C165" s="11" t="str">
        <f aca="false">TEXT(B165,"mmm-yyyy")</f>
        <v>Sep-2025</v>
      </c>
      <c r="D165" s="11" t="s">
        <v>46</v>
      </c>
      <c r="E165" s="11" t="s">
        <v>41</v>
      </c>
      <c r="F165" s="11" t="s">
        <v>42</v>
      </c>
      <c r="G165" s="11" t="s">
        <v>43</v>
      </c>
      <c r="H165" s="11" t="n">
        <v>202</v>
      </c>
      <c r="I165" s="12" t="n">
        <v>22.51</v>
      </c>
      <c r="J165" s="12" t="n">
        <v>45.57</v>
      </c>
      <c r="K165" s="17" t="n">
        <v>0.1</v>
      </c>
      <c r="L165" s="12" t="n">
        <f aca="false">H165*J165</f>
        <v>9205.14</v>
      </c>
      <c r="M165" s="12" t="n">
        <f aca="false">L165*K165</f>
        <v>920.514</v>
      </c>
      <c r="N165" s="12" t="n">
        <f aca="false">L165-M165</f>
        <v>8284.626</v>
      </c>
      <c r="O165" s="12" t="n">
        <f aca="false">H165*I165</f>
        <v>4547.02</v>
      </c>
      <c r="P165" s="12" t="n">
        <f aca="false">N165-O165</f>
        <v>3737.606</v>
      </c>
      <c r="Q165" s="17" t="n">
        <f aca="false">IFERROR(P165/N165,0)</f>
        <v>0.451149635481433</v>
      </c>
    </row>
    <row r="166" customFormat="false" ht="15" hidden="false" customHeight="false" outlineLevel="0" collapsed="false">
      <c r="A166" s="8" t="s">
        <v>232</v>
      </c>
      <c r="B166" s="14" t="s">
        <v>217</v>
      </c>
      <c r="C166" s="8" t="str">
        <f aca="false">TEXT(B166,"mmm-yyyy")</f>
        <v>Sep-2025</v>
      </c>
      <c r="D166" s="8" t="s">
        <v>55</v>
      </c>
      <c r="E166" s="8" t="s">
        <v>41</v>
      </c>
      <c r="F166" s="8" t="s">
        <v>42</v>
      </c>
      <c r="G166" s="8" t="s">
        <v>47</v>
      </c>
      <c r="H166" s="8" t="n">
        <v>233</v>
      </c>
      <c r="I166" s="9" t="n">
        <v>22.22</v>
      </c>
      <c r="J166" s="9" t="n">
        <v>44.49</v>
      </c>
      <c r="K166" s="15" t="n">
        <v>0</v>
      </c>
      <c r="L166" s="9" t="n">
        <f aca="false">H166*J166</f>
        <v>10366.17</v>
      </c>
      <c r="M166" s="9" t="n">
        <f aca="false">L166*K166</f>
        <v>0</v>
      </c>
      <c r="N166" s="9" t="n">
        <f aca="false">L166-M166</f>
        <v>10366.17</v>
      </c>
      <c r="O166" s="9" t="n">
        <f aca="false">H166*I166</f>
        <v>5177.26</v>
      </c>
      <c r="P166" s="9" t="n">
        <f aca="false">N166-O166</f>
        <v>5188.91</v>
      </c>
      <c r="Q166" s="15" t="n">
        <f aca="false">IFERROR(P166/N166,0)</f>
        <v>0.500561924027872</v>
      </c>
    </row>
    <row r="167" customFormat="false" ht="15" hidden="false" customHeight="false" outlineLevel="0" collapsed="false">
      <c r="A167" s="11" t="s">
        <v>321</v>
      </c>
      <c r="B167" s="16" t="s">
        <v>322</v>
      </c>
      <c r="C167" s="11" t="str">
        <f aca="false">TEXT(B167,"mmm-yyyy")</f>
        <v>Sep-2025</v>
      </c>
      <c r="D167" s="11" t="s">
        <v>46</v>
      </c>
      <c r="E167" s="11" t="s">
        <v>114</v>
      </c>
      <c r="F167" s="11" t="s">
        <v>73</v>
      </c>
      <c r="G167" s="11" t="s">
        <v>43</v>
      </c>
      <c r="H167" s="11" t="n">
        <v>211</v>
      </c>
      <c r="I167" s="12" t="n">
        <v>13.82</v>
      </c>
      <c r="J167" s="12" t="n">
        <v>30.55</v>
      </c>
      <c r="K167" s="17" t="n">
        <v>0</v>
      </c>
      <c r="L167" s="12" t="n">
        <f aca="false">H167*J167</f>
        <v>6446.05</v>
      </c>
      <c r="M167" s="12" t="n">
        <f aca="false">L167*K167</f>
        <v>0</v>
      </c>
      <c r="N167" s="12" t="n">
        <f aca="false">L167-M167</f>
        <v>6446.05</v>
      </c>
      <c r="O167" s="12" t="n">
        <f aca="false">H167*I167</f>
        <v>2916.02</v>
      </c>
      <c r="P167" s="12" t="n">
        <f aca="false">N167-O167</f>
        <v>3530.03</v>
      </c>
      <c r="Q167" s="17" t="n">
        <f aca="false">IFERROR(P167/N167,0)</f>
        <v>0.547626841243863</v>
      </c>
    </row>
    <row r="168" customFormat="false" ht="15" hidden="false" customHeight="false" outlineLevel="0" collapsed="false">
      <c r="A168" s="8" t="s">
        <v>268</v>
      </c>
      <c r="B168" s="14" t="s">
        <v>269</v>
      </c>
      <c r="C168" s="8" t="str">
        <f aca="false">TEXT(B168,"mmm-yyyy")</f>
        <v>Sep-2025</v>
      </c>
      <c r="D168" s="8" t="s">
        <v>46</v>
      </c>
      <c r="E168" s="8" t="s">
        <v>72</v>
      </c>
      <c r="F168" s="8" t="s">
        <v>73</v>
      </c>
      <c r="G168" s="8" t="s">
        <v>47</v>
      </c>
      <c r="H168" s="8" t="n">
        <v>213</v>
      </c>
      <c r="I168" s="9" t="n">
        <v>27.33</v>
      </c>
      <c r="J168" s="9" t="n">
        <v>59.6</v>
      </c>
      <c r="K168" s="15" t="n">
        <v>0</v>
      </c>
      <c r="L168" s="9" t="n">
        <f aca="false">H168*J168</f>
        <v>12694.8</v>
      </c>
      <c r="M168" s="9" t="n">
        <f aca="false">L168*K168</f>
        <v>0</v>
      </c>
      <c r="N168" s="9" t="n">
        <f aca="false">L168-M168</f>
        <v>12694.8</v>
      </c>
      <c r="O168" s="9" t="n">
        <f aca="false">H168*I168</f>
        <v>5821.29</v>
      </c>
      <c r="P168" s="9" t="n">
        <f aca="false">N168-O168</f>
        <v>6873.51</v>
      </c>
      <c r="Q168" s="15" t="n">
        <f aca="false">IFERROR(P168/N168,0)</f>
        <v>0.541442953020134</v>
      </c>
    </row>
    <row r="169" customFormat="false" ht="15" hidden="false" customHeight="false" outlineLevel="0" collapsed="false">
      <c r="A169" s="11" t="s">
        <v>64</v>
      </c>
      <c r="B169" s="16" t="s">
        <v>49</v>
      </c>
      <c r="C169" s="11" t="str">
        <f aca="false">TEXT(B169,"mmm-yyyy")</f>
        <v>Sep-2025</v>
      </c>
      <c r="D169" s="11" t="s">
        <v>61</v>
      </c>
      <c r="E169" s="11" t="s">
        <v>41</v>
      </c>
      <c r="F169" s="11" t="s">
        <v>42</v>
      </c>
      <c r="G169" s="11" t="s">
        <v>43</v>
      </c>
      <c r="H169" s="11" t="n">
        <v>224</v>
      </c>
      <c r="I169" s="12" t="n">
        <v>22.49</v>
      </c>
      <c r="J169" s="12" t="n">
        <v>43.11</v>
      </c>
      <c r="K169" s="17" t="n">
        <v>0.15</v>
      </c>
      <c r="L169" s="12" t="n">
        <f aca="false">H169*J169</f>
        <v>9656.64</v>
      </c>
      <c r="M169" s="12" t="n">
        <f aca="false">L169*K169</f>
        <v>1448.496</v>
      </c>
      <c r="N169" s="12" t="n">
        <f aca="false">L169-M169</f>
        <v>8208.144</v>
      </c>
      <c r="O169" s="12" t="n">
        <f aca="false">H169*I169</f>
        <v>5037.76</v>
      </c>
      <c r="P169" s="12" t="n">
        <f aca="false">N169-O169</f>
        <v>3170.384</v>
      </c>
      <c r="Q169" s="17" t="n">
        <f aca="false">IFERROR(P169/N169,0)</f>
        <v>0.386248584332829</v>
      </c>
    </row>
    <row r="170" customFormat="false" ht="15" hidden="false" customHeight="false" outlineLevel="0" collapsed="false">
      <c r="A170" s="8" t="s">
        <v>48</v>
      </c>
      <c r="B170" s="14" t="s">
        <v>49</v>
      </c>
      <c r="C170" s="8" t="str">
        <f aca="false">TEXT(B170,"mmm-yyyy")</f>
        <v>Sep-2025</v>
      </c>
      <c r="D170" s="8" t="s">
        <v>55</v>
      </c>
      <c r="E170" s="8" t="s">
        <v>51</v>
      </c>
      <c r="F170" s="8" t="s">
        <v>52</v>
      </c>
      <c r="G170" s="8" t="s">
        <v>47</v>
      </c>
      <c r="H170" s="8" t="n">
        <v>213</v>
      </c>
      <c r="I170" s="9" t="n">
        <v>70.83</v>
      </c>
      <c r="J170" s="9" t="n">
        <v>116.26</v>
      </c>
      <c r="K170" s="15" t="n">
        <v>0.15</v>
      </c>
      <c r="L170" s="9" t="n">
        <f aca="false">H170*J170</f>
        <v>24763.38</v>
      </c>
      <c r="M170" s="9" t="n">
        <f aca="false">L170*K170</f>
        <v>3714.507</v>
      </c>
      <c r="N170" s="9" t="n">
        <f aca="false">L170-M170</f>
        <v>21048.873</v>
      </c>
      <c r="O170" s="9" t="n">
        <f aca="false">H170*I170</f>
        <v>15086.79</v>
      </c>
      <c r="P170" s="9" t="n">
        <f aca="false">N170-O170</f>
        <v>5962.083</v>
      </c>
      <c r="Q170" s="15" t="n">
        <f aca="false">IFERROR(P170/N170,0)</f>
        <v>0.283249511743455</v>
      </c>
    </row>
    <row r="171" customFormat="false" ht="15" hidden="false" customHeight="false" outlineLevel="0" collapsed="false">
      <c r="A171" s="11" t="s">
        <v>185</v>
      </c>
      <c r="B171" s="16" t="s">
        <v>186</v>
      </c>
      <c r="C171" s="11" t="str">
        <f aca="false">TEXT(B171,"mmm-yyyy")</f>
        <v>Sep-2025</v>
      </c>
      <c r="D171" s="11" t="s">
        <v>40</v>
      </c>
      <c r="E171" s="11" t="s">
        <v>51</v>
      </c>
      <c r="F171" s="11" t="s">
        <v>52</v>
      </c>
      <c r="G171" s="11" t="s">
        <v>43</v>
      </c>
      <c r="H171" s="11" t="n">
        <v>227</v>
      </c>
      <c r="I171" s="12" t="n">
        <v>69.76</v>
      </c>
      <c r="J171" s="12" t="n">
        <v>115.9</v>
      </c>
      <c r="K171" s="17" t="n">
        <v>0.05</v>
      </c>
      <c r="L171" s="12" t="n">
        <f aca="false">H171*J171</f>
        <v>26309.3</v>
      </c>
      <c r="M171" s="12" t="n">
        <f aca="false">L171*K171</f>
        <v>1315.465</v>
      </c>
      <c r="N171" s="12" t="n">
        <f aca="false">L171-M171</f>
        <v>24993.835</v>
      </c>
      <c r="O171" s="12" t="n">
        <f aca="false">H171*I171</f>
        <v>15835.52</v>
      </c>
      <c r="P171" s="12" t="n">
        <f aca="false">N171-O171</f>
        <v>9158.315</v>
      </c>
      <c r="Q171" s="17" t="n">
        <f aca="false">IFERROR(P171/N171,0)</f>
        <v>0.366422959901912</v>
      </c>
    </row>
    <row r="172" customFormat="false" ht="15" hidden="false" customHeight="false" outlineLevel="0" collapsed="false">
      <c r="A172" s="8" t="s">
        <v>441</v>
      </c>
      <c r="B172" s="14" t="s">
        <v>417</v>
      </c>
      <c r="C172" s="8" t="str">
        <f aca="false">TEXT(B172,"mmm-yyyy")</f>
        <v>Sep-2025</v>
      </c>
      <c r="D172" s="8" t="s">
        <v>46</v>
      </c>
      <c r="E172" s="8" t="s">
        <v>51</v>
      </c>
      <c r="F172" s="8" t="s">
        <v>52</v>
      </c>
      <c r="G172" s="8" t="s">
        <v>47</v>
      </c>
      <c r="H172" s="8" t="n">
        <v>230</v>
      </c>
      <c r="I172" s="9" t="n">
        <v>68.55</v>
      </c>
      <c r="J172" s="9" t="n">
        <v>121.86</v>
      </c>
      <c r="K172" s="15" t="n">
        <v>0.1</v>
      </c>
      <c r="L172" s="9" t="n">
        <f aca="false">H172*J172</f>
        <v>28027.8</v>
      </c>
      <c r="M172" s="9" t="n">
        <f aca="false">L172*K172</f>
        <v>2802.78</v>
      </c>
      <c r="N172" s="9" t="n">
        <f aca="false">L172-M172</f>
        <v>25225.02</v>
      </c>
      <c r="O172" s="9" t="n">
        <f aca="false">H172*I172</f>
        <v>15766.5</v>
      </c>
      <c r="P172" s="9" t="n">
        <f aca="false">N172-O172</f>
        <v>9458.52</v>
      </c>
      <c r="Q172" s="15" t="n">
        <f aca="false">IFERROR(P172/N172,0)</f>
        <v>0.374965807757536</v>
      </c>
    </row>
    <row r="173" customFormat="false" ht="15" hidden="false" customHeight="false" outlineLevel="0" collapsed="false">
      <c r="A173" s="11" t="s">
        <v>416</v>
      </c>
      <c r="B173" s="16" t="s">
        <v>417</v>
      </c>
      <c r="C173" s="11" t="str">
        <f aca="false">TEXT(B173,"mmm-yyyy")</f>
        <v>Sep-2025</v>
      </c>
      <c r="D173" s="11" t="s">
        <v>46</v>
      </c>
      <c r="E173" s="11" t="s">
        <v>56</v>
      </c>
      <c r="F173" s="11" t="s">
        <v>52</v>
      </c>
      <c r="G173" s="11" t="s">
        <v>47</v>
      </c>
      <c r="H173" s="11" t="n">
        <v>201</v>
      </c>
      <c r="I173" s="12" t="n">
        <v>49.49</v>
      </c>
      <c r="J173" s="12" t="n">
        <v>81.43</v>
      </c>
      <c r="K173" s="17" t="n">
        <v>0.15</v>
      </c>
      <c r="L173" s="12" t="n">
        <f aca="false">H173*J173</f>
        <v>16367.43</v>
      </c>
      <c r="M173" s="12" t="n">
        <f aca="false">L173*K173</f>
        <v>2455.1145</v>
      </c>
      <c r="N173" s="12" t="n">
        <f aca="false">L173-M173</f>
        <v>13912.3155</v>
      </c>
      <c r="O173" s="12" t="n">
        <f aca="false">H173*I173</f>
        <v>9947.49</v>
      </c>
      <c r="P173" s="12" t="n">
        <f aca="false">N173-O173</f>
        <v>3964.8255</v>
      </c>
      <c r="Q173" s="17" t="n">
        <f aca="false">IFERROR(P173/N173,0)</f>
        <v>0.284986744298604</v>
      </c>
    </row>
    <row r="174" customFormat="false" ht="15" hidden="false" customHeight="false" outlineLevel="0" collapsed="false">
      <c r="A174" s="8" t="s">
        <v>342</v>
      </c>
      <c r="B174" s="14" t="s">
        <v>343</v>
      </c>
      <c r="C174" s="8" t="str">
        <f aca="false">TEXT(B174,"mmm-yyyy")</f>
        <v>Sep-2025</v>
      </c>
      <c r="D174" s="8" t="s">
        <v>61</v>
      </c>
      <c r="E174" s="8" t="s">
        <v>51</v>
      </c>
      <c r="F174" s="8" t="s">
        <v>52</v>
      </c>
      <c r="G174" s="8" t="s">
        <v>47</v>
      </c>
      <c r="H174" s="8" t="n">
        <v>181</v>
      </c>
      <c r="I174" s="9" t="n">
        <v>71.24</v>
      </c>
      <c r="J174" s="9" t="n">
        <v>114.55</v>
      </c>
      <c r="K174" s="15" t="n">
        <v>0.05</v>
      </c>
      <c r="L174" s="9" t="n">
        <f aca="false">H174*J174</f>
        <v>20733.55</v>
      </c>
      <c r="M174" s="9" t="n">
        <f aca="false">L174*K174</f>
        <v>1036.6775</v>
      </c>
      <c r="N174" s="9" t="n">
        <f aca="false">L174-M174</f>
        <v>19696.8725</v>
      </c>
      <c r="O174" s="9" t="n">
        <f aca="false">H174*I174</f>
        <v>12894.44</v>
      </c>
      <c r="P174" s="9" t="n">
        <f aca="false">N174-O174</f>
        <v>6802.4325</v>
      </c>
      <c r="Q174" s="15" t="n">
        <f aca="false">IFERROR(P174/N174,0)</f>
        <v>0.345355969583496</v>
      </c>
    </row>
    <row r="175" customFormat="false" ht="15" hidden="false" customHeight="false" outlineLevel="0" collapsed="false">
      <c r="A175" s="11" t="s">
        <v>468</v>
      </c>
      <c r="B175" s="16" t="s">
        <v>469</v>
      </c>
      <c r="C175" s="11" t="str">
        <f aca="false">TEXT(B175,"mmm-yyyy")</f>
        <v>Sep-2025</v>
      </c>
      <c r="D175" s="11" t="s">
        <v>55</v>
      </c>
      <c r="E175" s="11" t="s">
        <v>56</v>
      </c>
      <c r="F175" s="11" t="s">
        <v>52</v>
      </c>
      <c r="G175" s="11" t="s">
        <v>43</v>
      </c>
      <c r="H175" s="11" t="n">
        <v>277</v>
      </c>
      <c r="I175" s="12" t="n">
        <v>49.73</v>
      </c>
      <c r="J175" s="12" t="n">
        <v>88.03</v>
      </c>
      <c r="K175" s="17" t="n">
        <v>0.05</v>
      </c>
      <c r="L175" s="12" t="n">
        <f aca="false">H175*J175</f>
        <v>24384.31</v>
      </c>
      <c r="M175" s="12" t="n">
        <f aca="false">L175*K175</f>
        <v>1219.2155</v>
      </c>
      <c r="N175" s="12" t="n">
        <f aca="false">L175-M175</f>
        <v>23165.0945</v>
      </c>
      <c r="O175" s="12" t="n">
        <f aca="false">H175*I175</f>
        <v>13775.21</v>
      </c>
      <c r="P175" s="12" t="n">
        <f aca="false">N175-O175</f>
        <v>9389.8845</v>
      </c>
      <c r="Q175" s="17" t="n">
        <f aca="false">IFERROR(P175/N175,0)</f>
        <v>0.405346263534561</v>
      </c>
    </row>
    <row r="176" customFormat="false" ht="15" hidden="false" customHeight="false" outlineLevel="0" collapsed="false">
      <c r="A176" s="8" t="s">
        <v>84</v>
      </c>
      <c r="B176" s="14" t="s">
        <v>85</v>
      </c>
      <c r="C176" s="8" t="str">
        <f aca="false">TEXT(B176,"mmm-yyyy")</f>
        <v>Sep-2025</v>
      </c>
      <c r="D176" s="8" t="s">
        <v>61</v>
      </c>
      <c r="E176" s="8" t="s">
        <v>72</v>
      </c>
      <c r="F176" s="8" t="s">
        <v>73</v>
      </c>
      <c r="G176" s="8" t="s">
        <v>43</v>
      </c>
      <c r="H176" s="8" t="n">
        <v>216</v>
      </c>
      <c r="I176" s="9" t="n">
        <v>28.51</v>
      </c>
      <c r="J176" s="9" t="n">
        <v>57.06</v>
      </c>
      <c r="K176" s="15" t="n">
        <v>0.05</v>
      </c>
      <c r="L176" s="9" t="n">
        <f aca="false">H176*J176</f>
        <v>12324.96</v>
      </c>
      <c r="M176" s="9" t="n">
        <f aca="false">L176*K176</f>
        <v>616.248</v>
      </c>
      <c r="N176" s="9" t="n">
        <f aca="false">L176-M176</f>
        <v>11708.712</v>
      </c>
      <c r="O176" s="9" t="n">
        <f aca="false">H176*I176</f>
        <v>6158.16</v>
      </c>
      <c r="P176" s="9" t="n">
        <f aca="false">N176-O176</f>
        <v>5550.552</v>
      </c>
      <c r="Q176" s="15" t="n">
        <f aca="false">IFERROR(P176/N176,0)</f>
        <v>0.474053166565204</v>
      </c>
    </row>
    <row r="177" customFormat="false" ht="15" hidden="false" customHeight="false" outlineLevel="0" collapsed="false">
      <c r="A177" s="11" t="s">
        <v>179</v>
      </c>
      <c r="B177" s="16" t="s">
        <v>180</v>
      </c>
      <c r="C177" s="11" t="str">
        <f aca="false">TEXT(B177,"mmm-yyyy")</f>
        <v>Sep-2025</v>
      </c>
      <c r="D177" s="11" t="s">
        <v>40</v>
      </c>
      <c r="E177" s="11" t="s">
        <v>41</v>
      </c>
      <c r="F177" s="11" t="s">
        <v>42</v>
      </c>
      <c r="G177" s="11" t="s">
        <v>47</v>
      </c>
      <c r="H177" s="11" t="n">
        <v>159</v>
      </c>
      <c r="I177" s="12" t="n">
        <v>21.65</v>
      </c>
      <c r="J177" s="12" t="n">
        <v>44.92</v>
      </c>
      <c r="K177" s="17" t="n">
        <v>0.15</v>
      </c>
      <c r="L177" s="12" t="n">
        <f aca="false">H177*J177</f>
        <v>7142.28</v>
      </c>
      <c r="M177" s="12" t="n">
        <f aca="false">L177*K177</f>
        <v>1071.342</v>
      </c>
      <c r="N177" s="12" t="n">
        <f aca="false">L177-M177</f>
        <v>6070.938</v>
      </c>
      <c r="O177" s="12" t="n">
        <f aca="false">H177*I177</f>
        <v>3442.35</v>
      </c>
      <c r="P177" s="12" t="n">
        <f aca="false">N177-O177</f>
        <v>2628.588</v>
      </c>
      <c r="Q177" s="17" t="n">
        <f aca="false">IFERROR(P177/N177,0)</f>
        <v>0.432978890576712</v>
      </c>
    </row>
    <row r="178" customFormat="false" ht="15" hidden="false" customHeight="false" outlineLevel="0" collapsed="false">
      <c r="A178" s="8" t="s">
        <v>368</v>
      </c>
      <c r="B178" s="14" t="s">
        <v>369</v>
      </c>
      <c r="C178" s="8" t="str">
        <f aca="false">TEXT(B178,"mmm-yyyy")</f>
        <v>Sep-2025</v>
      </c>
      <c r="D178" s="8" t="s">
        <v>61</v>
      </c>
      <c r="E178" s="8" t="s">
        <v>114</v>
      </c>
      <c r="F178" s="8" t="s">
        <v>73</v>
      </c>
      <c r="G178" s="8" t="s">
        <v>47</v>
      </c>
      <c r="H178" s="8" t="n">
        <v>188</v>
      </c>
      <c r="I178" s="9" t="n">
        <v>14.07</v>
      </c>
      <c r="J178" s="9" t="n">
        <v>29.99</v>
      </c>
      <c r="K178" s="15" t="n">
        <v>0</v>
      </c>
      <c r="L178" s="9" t="n">
        <f aca="false">H178*J178</f>
        <v>5638.12</v>
      </c>
      <c r="M178" s="9" t="n">
        <f aca="false">L178*K178</f>
        <v>0</v>
      </c>
      <c r="N178" s="9" t="n">
        <f aca="false">L178-M178</f>
        <v>5638.12</v>
      </c>
      <c r="O178" s="9" t="n">
        <f aca="false">H178*I178</f>
        <v>2645.16</v>
      </c>
      <c r="P178" s="9" t="n">
        <f aca="false">N178-O178</f>
        <v>2992.96</v>
      </c>
      <c r="Q178" s="15" t="n">
        <f aca="false">IFERROR(P178/N178,0)</f>
        <v>0.530843614538179</v>
      </c>
    </row>
    <row r="179" customFormat="false" ht="15" hidden="false" customHeight="false" outlineLevel="0" collapsed="false">
      <c r="A179" s="11" t="s">
        <v>287</v>
      </c>
      <c r="B179" s="16" t="s">
        <v>288</v>
      </c>
      <c r="C179" s="11" t="str">
        <f aca="false">TEXT(B179,"mmm-yyyy")</f>
        <v>Sep-2025</v>
      </c>
      <c r="D179" s="11" t="s">
        <v>61</v>
      </c>
      <c r="E179" s="11" t="s">
        <v>56</v>
      </c>
      <c r="F179" s="11" t="s">
        <v>52</v>
      </c>
      <c r="G179" s="11" t="s">
        <v>43</v>
      </c>
      <c r="H179" s="11" t="n">
        <v>119</v>
      </c>
      <c r="I179" s="12" t="n">
        <v>49.23</v>
      </c>
      <c r="J179" s="12" t="n">
        <v>84.41</v>
      </c>
      <c r="K179" s="17" t="n">
        <v>0.1</v>
      </c>
      <c r="L179" s="12" t="n">
        <f aca="false">H179*J179</f>
        <v>10044.79</v>
      </c>
      <c r="M179" s="12" t="n">
        <f aca="false">L179*K179</f>
        <v>1004.479</v>
      </c>
      <c r="N179" s="12" t="n">
        <f aca="false">L179-M179</f>
        <v>9040.311</v>
      </c>
      <c r="O179" s="12" t="n">
        <f aca="false">H179*I179</f>
        <v>5858.37</v>
      </c>
      <c r="P179" s="12" t="n">
        <f aca="false">N179-O179</f>
        <v>3181.941</v>
      </c>
      <c r="Q179" s="17" t="n">
        <f aca="false">IFERROR(P179/N179,0)</f>
        <v>0.351972515104845</v>
      </c>
    </row>
    <row r="180" customFormat="false" ht="15" hidden="false" customHeight="false" outlineLevel="0" collapsed="false">
      <c r="A180" s="8" t="s">
        <v>349</v>
      </c>
      <c r="B180" s="14" t="s">
        <v>350</v>
      </c>
      <c r="C180" s="8" t="str">
        <f aca="false">TEXT(B180,"mmm-yyyy")</f>
        <v>Sep-2025</v>
      </c>
      <c r="D180" s="8" t="s">
        <v>40</v>
      </c>
      <c r="E180" s="8" t="s">
        <v>72</v>
      </c>
      <c r="F180" s="8" t="s">
        <v>73</v>
      </c>
      <c r="G180" s="8" t="s">
        <v>43</v>
      </c>
      <c r="H180" s="8" t="n">
        <v>258</v>
      </c>
      <c r="I180" s="9" t="n">
        <v>28.31</v>
      </c>
      <c r="J180" s="9" t="n">
        <v>60.4</v>
      </c>
      <c r="K180" s="15" t="n">
        <v>0</v>
      </c>
      <c r="L180" s="9" t="n">
        <f aca="false">H180*J180</f>
        <v>15583.2</v>
      </c>
      <c r="M180" s="9" t="n">
        <f aca="false">L180*K180</f>
        <v>0</v>
      </c>
      <c r="N180" s="9" t="n">
        <f aca="false">L180-M180</f>
        <v>15583.2</v>
      </c>
      <c r="O180" s="9" t="n">
        <f aca="false">H180*I180</f>
        <v>7303.98</v>
      </c>
      <c r="P180" s="9" t="n">
        <f aca="false">N180-O180</f>
        <v>8279.22</v>
      </c>
      <c r="Q180" s="15" t="n">
        <f aca="false">IFERROR(P180/N180,0)</f>
        <v>0.531291390728477</v>
      </c>
    </row>
    <row r="181" customFormat="false" ht="15" hidden="false" customHeight="false" outlineLevel="0" collapsed="false">
      <c r="A181" s="11" t="s">
        <v>289</v>
      </c>
      <c r="B181" s="16" t="s">
        <v>172</v>
      </c>
      <c r="C181" s="11" t="str">
        <f aca="false">TEXT(B181,"mmm-yyyy")</f>
        <v>Sep-2025</v>
      </c>
      <c r="D181" s="11" t="s">
        <v>55</v>
      </c>
      <c r="E181" s="11" t="s">
        <v>114</v>
      </c>
      <c r="F181" s="11" t="s">
        <v>73</v>
      </c>
      <c r="G181" s="11" t="s">
        <v>69</v>
      </c>
      <c r="H181" s="11" t="n">
        <v>160</v>
      </c>
      <c r="I181" s="12" t="n">
        <v>14.39</v>
      </c>
      <c r="J181" s="12" t="n">
        <v>28.88</v>
      </c>
      <c r="K181" s="17" t="n">
        <v>0.05</v>
      </c>
      <c r="L181" s="12" t="n">
        <f aca="false">H181*J181</f>
        <v>4620.8</v>
      </c>
      <c r="M181" s="12" t="n">
        <f aca="false">L181*K181</f>
        <v>231.04</v>
      </c>
      <c r="N181" s="12" t="n">
        <f aca="false">L181-M181</f>
        <v>4389.76</v>
      </c>
      <c r="O181" s="12" t="n">
        <f aca="false">H181*I181</f>
        <v>2302.4</v>
      </c>
      <c r="P181" s="12" t="n">
        <f aca="false">N181-O181</f>
        <v>2087.36</v>
      </c>
      <c r="Q181" s="17" t="n">
        <f aca="false">IFERROR(P181/N181,0)</f>
        <v>0.475506633620061</v>
      </c>
    </row>
    <row r="182" customFormat="false" ht="15" hidden="false" customHeight="false" outlineLevel="0" collapsed="false">
      <c r="A182" s="8" t="s">
        <v>171</v>
      </c>
      <c r="B182" s="14" t="s">
        <v>172</v>
      </c>
      <c r="C182" s="8" t="str">
        <f aca="false">TEXT(B182,"mmm-yyyy")</f>
        <v>Sep-2025</v>
      </c>
      <c r="D182" s="8" t="s">
        <v>55</v>
      </c>
      <c r="E182" s="8" t="s">
        <v>72</v>
      </c>
      <c r="F182" s="8" t="s">
        <v>73</v>
      </c>
      <c r="G182" s="8" t="s">
        <v>47</v>
      </c>
      <c r="H182" s="8" t="n">
        <v>277</v>
      </c>
      <c r="I182" s="9" t="n">
        <v>27.19</v>
      </c>
      <c r="J182" s="9" t="n">
        <v>62.46</v>
      </c>
      <c r="K182" s="15" t="n">
        <v>0</v>
      </c>
      <c r="L182" s="9" t="n">
        <f aca="false">H182*J182</f>
        <v>17301.42</v>
      </c>
      <c r="M182" s="9" t="n">
        <f aca="false">L182*K182</f>
        <v>0</v>
      </c>
      <c r="N182" s="9" t="n">
        <f aca="false">L182-M182</f>
        <v>17301.42</v>
      </c>
      <c r="O182" s="9" t="n">
        <f aca="false">H182*I182</f>
        <v>7531.63</v>
      </c>
      <c r="P182" s="9" t="n">
        <f aca="false">N182-O182</f>
        <v>9769.79</v>
      </c>
      <c r="Q182" s="15" t="n">
        <f aca="false">IFERROR(P182/N182,0)</f>
        <v>0.5646813960935</v>
      </c>
    </row>
    <row r="183" customFormat="false" ht="15" hidden="false" customHeight="false" outlineLevel="0" collapsed="false">
      <c r="A183" s="11" t="s">
        <v>236</v>
      </c>
      <c r="B183" s="16" t="s">
        <v>172</v>
      </c>
      <c r="C183" s="11" t="str">
        <f aca="false">TEXT(B183,"mmm-yyyy")</f>
        <v>Sep-2025</v>
      </c>
      <c r="D183" s="11" t="s">
        <v>40</v>
      </c>
      <c r="E183" s="11" t="s">
        <v>56</v>
      </c>
      <c r="F183" s="11" t="s">
        <v>52</v>
      </c>
      <c r="G183" s="11" t="s">
        <v>47</v>
      </c>
      <c r="H183" s="11" t="n">
        <v>165</v>
      </c>
      <c r="I183" s="12" t="n">
        <v>51.04</v>
      </c>
      <c r="J183" s="12" t="n">
        <v>82.88</v>
      </c>
      <c r="K183" s="17" t="n">
        <v>0</v>
      </c>
      <c r="L183" s="12" t="n">
        <f aca="false">H183*J183</f>
        <v>13675.2</v>
      </c>
      <c r="M183" s="12" t="n">
        <f aca="false">L183*K183</f>
        <v>0</v>
      </c>
      <c r="N183" s="12" t="n">
        <f aca="false">L183-M183</f>
        <v>13675.2</v>
      </c>
      <c r="O183" s="12" t="n">
        <f aca="false">H183*I183</f>
        <v>8421.6</v>
      </c>
      <c r="P183" s="12" t="n">
        <f aca="false">N183-O183</f>
        <v>5253.6</v>
      </c>
      <c r="Q183" s="17" t="n">
        <f aca="false">IFERROR(P183/N183,0)</f>
        <v>0.384169884169884</v>
      </c>
    </row>
    <row r="184" customFormat="false" ht="15" hidden="false" customHeight="false" outlineLevel="0" collapsed="false">
      <c r="A184" s="8" t="s">
        <v>65</v>
      </c>
      <c r="B184" s="14" t="s">
        <v>66</v>
      </c>
      <c r="C184" s="8" t="str">
        <f aca="false">TEXT(B184,"mmm-yyyy")</f>
        <v>Oct-2025</v>
      </c>
      <c r="D184" s="8" t="s">
        <v>40</v>
      </c>
      <c r="E184" s="8" t="s">
        <v>51</v>
      </c>
      <c r="F184" s="8" t="s">
        <v>52</v>
      </c>
      <c r="G184" s="8" t="s">
        <v>47</v>
      </c>
      <c r="H184" s="8" t="n">
        <v>177</v>
      </c>
      <c r="I184" s="9" t="n">
        <v>69.96</v>
      </c>
      <c r="J184" s="9" t="n">
        <v>115.19</v>
      </c>
      <c r="K184" s="15" t="n">
        <v>0.1</v>
      </c>
      <c r="L184" s="9" t="n">
        <f aca="false">H184*J184</f>
        <v>20388.63</v>
      </c>
      <c r="M184" s="9" t="n">
        <f aca="false">L184*K184</f>
        <v>2038.863</v>
      </c>
      <c r="N184" s="9" t="n">
        <f aca="false">L184-M184</f>
        <v>18349.767</v>
      </c>
      <c r="O184" s="9" t="n">
        <f aca="false">H184*I184</f>
        <v>12382.92</v>
      </c>
      <c r="P184" s="9" t="n">
        <f aca="false">N184-O184</f>
        <v>5966.847</v>
      </c>
      <c r="Q184" s="15" t="n">
        <f aca="false">IFERROR(P184/N184,0)</f>
        <v>0.3251729027404</v>
      </c>
    </row>
    <row r="185" customFormat="false" ht="15" hidden="false" customHeight="false" outlineLevel="0" collapsed="false">
      <c r="A185" s="11" t="s">
        <v>387</v>
      </c>
      <c r="B185" s="16" t="s">
        <v>388</v>
      </c>
      <c r="C185" s="11" t="str">
        <f aca="false">TEXT(B185,"mmm-yyyy")</f>
        <v>Oct-2025</v>
      </c>
      <c r="D185" s="11" t="s">
        <v>46</v>
      </c>
      <c r="E185" s="11" t="s">
        <v>41</v>
      </c>
      <c r="F185" s="11" t="s">
        <v>42</v>
      </c>
      <c r="G185" s="11" t="s">
        <v>47</v>
      </c>
      <c r="H185" s="11" t="n">
        <v>173</v>
      </c>
      <c r="I185" s="12" t="n">
        <v>21.86</v>
      </c>
      <c r="J185" s="12" t="n">
        <v>45.78</v>
      </c>
      <c r="K185" s="17" t="n">
        <v>0.15</v>
      </c>
      <c r="L185" s="12" t="n">
        <f aca="false">H185*J185</f>
        <v>7919.94</v>
      </c>
      <c r="M185" s="12" t="n">
        <f aca="false">L185*K185</f>
        <v>1187.991</v>
      </c>
      <c r="N185" s="12" t="n">
        <f aca="false">L185-M185</f>
        <v>6731.949</v>
      </c>
      <c r="O185" s="12" t="n">
        <f aca="false">H185*I185</f>
        <v>3781.78</v>
      </c>
      <c r="P185" s="12" t="n">
        <f aca="false">N185-O185</f>
        <v>2950.169</v>
      </c>
      <c r="Q185" s="17" t="n">
        <f aca="false">IFERROR(P185/N185,0)</f>
        <v>0.43823400920001</v>
      </c>
    </row>
    <row r="186" customFormat="false" ht="15" hidden="false" customHeight="false" outlineLevel="0" collapsed="false">
      <c r="A186" s="8" t="s">
        <v>390</v>
      </c>
      <c r="B186" s="14" t="s">
        <v>391</v>
      </c>
      <c r="C186" s="8" t="str">
        <f aca="false">TEXT(B186,"mmm-yyyy")</f>
        <v>Oct-2025</v>
      </c>
      <c r="D186" s="8" t="s">
        <v>55</v>
      </c>
      <c r="E186" s="8" t="s">
        <v>56</v>
      </c>
      <c r="F186" s="8" t="s">
        <v>52</v>
      </c>
      <c r="G186" s="8" t="s">
        <v>43</v>
      </c>
      <c r="H186" s="8" t="n">
        <v>271</v>
      </c>
      <c r="I186" s="9" t="n">
        <v>50.36</v>
      </c>
      <c r="J186" s="9" t="n">
        <v>86.16</v>
      </c>
      <c r="K186" s="15" t="n">
        <v>0</v>
      </c>
      <c r="L186" s="9" t="n">
        <f aca="false">H186*J186</f>
        <v>23349.36</v>
      </c>
      <c r="M186" s="9" t="n">
        <f aca="false">L186*K186</f>
        <v>0</v>
      </c>
      <c r="N186" s="9" t="n">
        <f aca="false">L186-M186</f>
        <v>23349.36</v>
      </c>
      <c r="O186" s="9" t="n">
        <f aca="false">H186*I186</f>
        <v>13647.56</v>
      </c>
      <c r="P186" s="9" t="n">
        <f aca="false">N186-O186</f>
        <v>9701.8</v>
      </c>
      <c r="Q186" s="15" t="n">
        <f aca="false">IFERROR(P186/N186,0)</f>
        <v>0.415506035283194</v>
      </c>
    </row>
    <row r="187" customFormat="false" ht="15" hidden="false" customHeight="false" outlineLevel="0" collapsed="false">
      <c r="A187" s="11" t="s">
        <v>252</v>
      </c>
      <c r="B187" s="16" t="s">
        <v>253</v>
      </c>
      <c r="C187" s="11" t="str">
        <f aca="false">TEXT(B187,"mmm-yyyy")</f>
        <v>Oct-2025</v>
      </c>
      <c r="D187" s="11" t="s">
        <v>40</v>
      </c>
      <c r="E187" s="11" t="s">
        <v>114</v>
      </c>
      <c r="F187" s="11" t="s">
        <v>73</v>
      </c>
      <c r="G187" s="11" t="s">
        <v>43</v>
      </c>
      <c r="H187" s="11" t="n">
        <v>180</v>
      </c>
      <c r="I187" s="12" t="n">
        <v>14.27</v>
      </c>
      <c r="J187" s="12" t="n">
        <v>31.35</v>
      </c>
      <c r="K187" s="17" t="n">
        <v>0</v>
      </c>
      <c r="L187" s="12" t="n">
        <f aca="false">H187*J187</f>
        <v>5643</v>
      </c>
      <c r="M187" s="12" t="n">
        <f aca="false">L187*K187</f>
        <v>0</v>
      </c>
      <c r="N187" s="12" t="n">
        <f aca="false">L187-M187</f>
        <v>5643</v>
      </c>
      <c r="O187" s="12" t="n">
        <f aca="false">H187*I187</f>
        <v>2568.6</v>
      </c>
      <c r="P187" s="12" t="n">
        <f aca="false">N187-O187</f>
        <v>3074.4</v>
      </c>
      <c r="Q187" s="17" t="n">
        <f aca="false">IFERROR(P187/N187,0)</f>
        <v>0.54481658692185</v>
      </c>
    </row>
    <row r="188" customFormat="false" ht="15" hidden="false" customHeight="false" outlineLevel="0" collapsed="false">
      <c r="A188" s="8" t="s">
        <v>361</v>
      </c>
      <c r="B188" s="14" t="s">
        <v>176</v>
      </c>
      <c r="C188" s="8" t="str">
        <f aca="false">TEXT(B188,"mmm-yyyy")</f>
        <v>Oct-2025</v>
      </c>
      <c r="D188" s="8" t="s">
        <v>61</v>
      </c>
      <c r="E188" s="8" t="s">
        <v>41</v>
      </c>
      <c r="F188" s="8" t="s">
        <v>42</v>
      </c>
      <c r="G188" s="8" t="s">
        <v>69</v>
      </c>
      <c r="H188" s="8" t="n">
        <v>233</v>
      </c>
      <c r="I188" s="9" t="n">
        <v>22.65</v>
      </c>
      <c r="J188" s="9" t="n">
        <v>42.92</v>
      </c>
      <c r="K188" s="15" t="n">
        <v>0</v>
      </c>
      <c r="L188" s="9" t="n">
        <f aca="false">H188*J188</f>
        <v>10000.36</v>
      </c>
      <c r="M188" s="9" t="n">
        <f aca="false">L188*K188</f>
        <v>0</v>
      </c>
      <c r="N188" s="9" t="n">
        <f aca="false">L188-M188</f>
        <v>10000.36</v>
      </c>
      <c r="O188" s="9" t="n">
        <f aca="false">H188*I188</f>
        <v>5277.45</v>
      </c>
      <c r="P188" s="9" t="n">
        <f aca="false">N188-O188</f>
        <v>4722.91</v>
      </c>
      <c r="Q188" s="15" t="n">
        <f aca="false">IFERROR(P188/N188,0)</f>
        <v>0.472273998136067</v>
      </c>
    </row>
    <row r="189" customFormat="false" ht="15" hidden="false" customHeight="false" outlineLevel="0" collapsed="false">
      <c r="A189" s="11" t="s">
        <v>425</v>
      </c>
      <c r="B189" s="16" t="s">
        <v>176</v>
      </c>
      <c r="C189" s="11" t="str">
        <f aca="false">TEXT(B189,"mmm-yyyy")</f>
        <v>Oct-2025</v>
      </c>
      <c r="D189" s="11" t="s">
        <v>46</v>
      </c>
      <c r="E189" s="11" t="s">
        <v>72</v>
      </c>
      <c r="F189" s="11" t="s">
        <v>73</v>
      </c>
      <c r="G189" s="11" t="s">
        <v>43</v>
      </c>
      <c r="H189" s="11" t="n">
        <v>236</v>
      </c>
      <c r="I189" s="12" t="n">
        <v>28.74</v>
      </c>
      <c r="J189" s="12" t="n">
        <v>61.93</v>
      </c>
      <c r="K189" s="17" t="n">
        <v>0</v>
      </c>
      <c r="L189" s="12" t="n">
        <f aca="false">H189*J189</f>
        <v>14615.48</v>
      </c>
      <c r="M189" s="12" t="n">
        <f aca="false">L189*K189</f>
        <v>0</v>
      </c>
      <c r="N189" s="12" t="n">
        <f aca="false">L189-M189</f>
        <v>14615.48</v>
      </c>
      <c r="O189" s="12" t="n">
        <f aca="false">H189*I189</f>
        <v>6782.64</v>
      </c>
      <c r="P189" s="12" t="n">
        <f aca="false">N189-O189</f>
        <v>7832.84</v>
      </c>
      <c r="Q189" s="17" t="n">
        <f aca="false">IFERROR(P189/N189,0)</f>
        <v>0.535927660261586</v>
      </c>
    </row>
    <row r="190" customFormat="false" ht="15" hidden="false" customHeight="false" outlineLevel="0" collapsed="false">
      <c r="A190" s="8" t="s">
        <v>175</v>
      </c>
      <c r="B190" s="14" t="s">
        <v>176</v>
      </c>
      <c r="C190" s="8" t="str">
        <f aca="false">TEXT(B190,"mmm-yyyy")</f>
        <v>Oct-2025</v>
      </c>
      <c r="D190" s="8" t="s">
        <v>55</v>
      </c>
      <c r="E190" s="8" t="s">
        <v>51</v>
      </c>
      <c r="F190" s="8" t="s">
        <v>52</v>
      </c>
      <c r="G190" s="8" t="s">
        <v>47</v>
      </c>
      <c r="H190" s="8" t="n">
        <v>139</v>
      </c>
      <c r="I190" s="9" t="n">
        <v>71.26</v>
      </c>
      <c r="J190" s="9" t="n">
        <v>117.43</v>
      </c>
      <c r="K190" s="15" t="n">
        <v>0.15</v>
      </c>
      <c r="L190" s="9" t="n">
        <f aca="false">H190*J190</f>
        <v>16322.77</v>
      </c>
      <c r="M190" s="9" t="n">
        <f aca="false">L190*K190</f>
        <v>2448.4155</v>
      </c>
      <c r="N190" s="9" t="n">
        <f aca="false">L190-M190</f>
        <v>13874.3545</v>
      </c>
      <c r="O190" s="9" t="n">
        <f aca="false">H190*I190</f>
        <v>9905.14</v>
      </c>
      <c r="P190" s="9" t="n">
        <f aca="false">N190-O190</f>
        <v>3969.2145</v>
      </c>
      <c r="Q190" s="15" t="n">
        <f aca="false">IFERROR(P190/N190,0)</f>
        <v>0.286082822808081</v>
      </c>
    </row>
    <row r="191" customFormat="false" ht="15" hidden="false" customHeight="false" outlineLevel="0" collapsed="false">
      <c r="A191" s="11" t="s">
        <v>128</v>
      </c>
      <c r="B191" s="16" t="s">
        <v>129</v>
      </c>
      <c r="C191" s="11" t="str">
        <f aca="false">TEXT(B191,"mmm-yyyy")</f>
        <v>Oct-2025</v>
      </c>
      <c r="D191" s="11" t="s">
        <v>55</v>
      </c>
      <c r="E191" s="11" t="s">
        <v>72</v>
      </c>
      <c r="F191" s="11" t="s">
        <v>73</v>
      </c>
      <c r="G191" s="11" t="s">
        <v>43</v>
      </c>
      <c r="H191" s="11" t="n">
        <v>283</v>
      </c>
      <c r="I191" s="12" t="n">
        <v>28.79</v>
      </c>
      <c r="J191" s="12" t="n">
        <v>60.24</v>
      </c>
      <c r="K191" s="17" t="n">
        <v>0.15</v>
      </c>
      <c r="L191" s="12" t="n">
        <f aca="false">H191*J191</f>
        <v>17047.92</v>
      </c>
      <c r="M191" s="12" t="n">
        <f aca="false">L191*K191</f>
        <v>2557.188</v>
      </c>
      <c r="N191" s="12" t="n">
        <f aca="false">L191-M191</f>
        <v>14490.732</v>
      </c>
      <c r="O191" s="12" t="n">
        <f aca="false">H191*I191</f>
        <v>8147.57</v>
      </c>
      <c r="P191" s="12" t="n">
        <f aca="false">N191-O191</f>
        <v>6343.162</v>
      </c>
      <c r="Q191" s="17" t="n">
        <f aca="false">IFERROR(P191/N191,0)</f>
        <v>0.437739239121944</v>
      </c>
    </row>
    <row r="192" customFormat="false" ht="15" hidden="false" customHeight="false" outlineLevel="0" collapsed="false">
      <c r="A192" s="8" t="s">
        <v>211</v>
      </c>
      <c r="B192" s="14" t="s">
        <v>148</v>
      </c>
      <c r="C192" s="8" t="str">
        <f aca="false">TEXT(B192,"mmm-yyyy")</f>
        <v>Oct-2025</v>
      </c>
      <c r="D192" s="8" t="s">
        <v>46</v>
      </c>
      <c r="E192" s="8" t="s">
        <v>114</v>
      </c>
      <c r="F192" s="8" t="s">
        <v>73</v>
      </c>
      <c r="G192" s="8" t="s">
        <v>43</v>
      </c>
      <c r="H192" s="8" t="n">
        <v>248</v>
      </c>
      <c r="I192" s="9" t="n">
        <v>13.96</v>
      </c>
      <c r="J192" s="9" t="n">
        <v>30.11</v>
      </c>
      <c r="K192" s="15" t="n">
        <v>0.05</v>
      </c>
      <c r="L192" s="9" t="n">
        <f aca="false">H192*J192</f>
        <v>7467.28</v>
      </c>
      <c r="M192" s="9" t="n">
        <f aca="false">L192*K192</f>
        <v>373.364</v>
      </c>
      <c r="N192" s="9" t="n">
        <f aca="false">L192-M192</f>
        <v>7093.916</v>
      </c>
      <c r="O192" s="9" t="n">
        <f aca="false">H192*I192</f>
        <v>3462.08</v>
      </c>
      <c r="P192" s="9" t="n">
        <f aca="false">N192-O192</f>
        <v>3631.836</v>
      </c>
      <c r="Q192" s="15" t="n">
        <f aca="false">IFERROR(P192/N192,0)</f>
        <v>0.511964900627524</v>
      </c>
    </row>
    <row r="193" customFormat="false" ht="15" hidden="false" customHeight="false" outlineLevel="0" collapsed="false">
      <c r="A193" s="11" t="s">
        <v>147</v>
      </c>
      <c r="B193" s="16" t="s">
        <v>148</v>
      </c>
      <c r="C193" s="11" t="str">
        <f aca="false">TEXT(B193,"mmm-yyyy")</f>
        <v>Oct-2025</v>
      </c>
      <c r="D193" s="11" t="s">
        <v>40</v>
      </c>
      <c r="E193" s="11" t="s">
        <v>41</v>
      </c>
      <c r="F193" s="11" t="s">
        <v>42</v>
      </c>
      <c r="G193" s="11" t="s">
        <v>69</v>
      </c>
      <c r="H193" s="11" t="n">
        <v>170</v>
      </c>
      <c r="I193" s="12" t="n">
        <v>22.53</v>
      </c>
      <c r="J193" s="12" t="n">
        <v>44.4</v>
      </c>
      <c r="K193" s="17" t="n">
        <v>0.05</v>
      </c>
      <c r="L193" s="12" t="n">
        <f aca="false">H193*J193</f>
        <v>7548</v>
      </c>
      <c r="M193" s="12" t="n">
        <f aca="false">L193*K193</f>
        <v>377.4</v>
      </c>
      <c r="N193" s="12" t="n">
        <f aca="false">L193-M193</f>
        <v>7170.6</v>
      </c>
      <c r="O193" s="12" t="n">
        <f aca="false">H193*I193</f>
        <v>3830.1</v>
      </c>
      <c r="P193" s="12" t="n">
        <f aca="false">N193-O193</f>
        <v>3340.5</v>
      </c>
      <c r="Q193" s="17" t="n">
        <f aca="false">IFERROR(P193/N193,0)</f>
        <v>0.465860597439545</v>
      </c>
    </row>
    <row r="194" customFormat="false" ht="15" hidden="false" customHeight="false" outlineLevel="0" collapsed="false">
      <c r="A194" s="8" t="s">
        <v>132</v>
      </c>
      <c r="B194" s="14" t="s">
        <v>113</v>
      </c>
      <c r="C194" s="8" t="str">
        <f aca="false">TEXT(B194,"mmm-yyyy")</f>
        <v>Oct-2025</v>
      </c>
      <c r="D194" s="8" t="s">
        <v>61</v>
      </c>
      <c r="E194" s="8" t="s">
        <v>56</v>
      </c>
      <c r="F194" s="8" t="s">
        <v>52</v>
      </c>
      <c r="G194" s="8" t="s">
        <v>43</v>
      </c>
      <c r="H194" s="8" t="n">
        <v>234</v>
      </c>
      <c r="I194" s="9" t="n">
        <v>50.97</v>
      </c>
      <c r="J194" s="9" t="n">
        <v>81.29</v>
      </c>
      <c r="K194" s="15" t="n">
        <v>0.05</v>
      </c>
      <c r="L194" s="9" t="n">
        <f aca="false">H194*J194</f>
        <v>19021.86</v>
      </c>
      <c r="M194" s="9" t="n">
        <f aca="false">L194*K194</f>
        <v>951.093</v>
      </c>
      <c r="N194" s="9" t="n">
        <f aca="false">L194-M194</f>
        <v>18070.767</v>
      </c>
      <c r="O194" s="9" t="n">
        <f aca="false">H194*I194</f>
        <v>11926.98</v>
      </c>
      <c r="P194" s="9" t="n">
        <f aca="false">N194-O194</f>
        <v>6143.787</v>
      </c>
      <c r="Q194" s="15" t="n">
        <f aca="false">IFERROR(P194/N194,0)</f>
        <v>0.339984849563939</v>
      </c>
    </row>
    <row r="195" customFormat="false" ht="15" hidden="false" customHeight="false" outlineLevel="0" collapsed="false">
      <c r="A195" s="11" t="s">
        <v>112</v>
      </c>
      <c r="B195" s="16" t="s">
        <v>113</v>
      </c>
      <c r="C195" s="11" t="str">
        <f aca="false">TEXT(B195,"mmm-yyyy")</f>
        <v>Oct-2025</v>
      </c>
      <c r="D195" s="11" t="s">
        <v>55</v>
      </c>
      <c r="E195" s="11" t="s">
        <v>114</v>
      </c>
      <c r="F195" s="11" t="s">
        <v>73</v>
      </c>
      <c r="G195" s="11" t="s">
        <v>43</v>
      </c>
      <c r="H195" s="11" t="n">
        <v>219</v>
      </c>
      <c r="I195" s="12" t="n">
        <v>14.34</v>
      </c>
      <c r="J195" s="12" t="n">
        <v>28.89</v>
      </c>
      <c r="K195" s="17" t="n">
        <v>0.05</v>
      </c>
      <c r="L195" s="12" t="n">
        <f aca="false">H195*J195</f>
        <v>6326.91</v>
      </c>
      <c r="M195" s="12" t="n">
        <f aca="false">L195*K195</f>
        <v>316.3455</v>
      </c>
      <c r="N195" s="12" t="n">
        <f aca="false">L195-M195</f>
        <v>6010.5645</v>
      </c>
      <c r="O195" s="12" t="n">
        <f aca="false">H195*I195</f>
        <v>3140.46</v>
      </c>
      <c r="P195" s="12" t="n">
        <f aca="false">N195-O195</f>
        <v>2870.1045</v>
      </c>
      <c r="Q195" s="17" t="n">
        <f aca="false">IFERROR(P195/N195,0)</f>
        <v>0.477509974312729</v>
      </c>
    </row>
    <row r="196" customFormat="false" ht="15" hidden="false" customHeight="false" outlineLevel="0" collapsed="false">
      <c r="A196" s="8" t="s">
        <v>177</v>
      </c>
      <c r="B196" s="14" t="s">
        <v>178</v>
      </c>
      <c r="C196" s="8" t="str">
        <f aca="false">TEXT(B196,"mmm-yyyy")</f>
        <v>Oct-2025</v>
      </c>
      <c r="D196" s="8" t="s">
        <v>61</v>
      </c>
      <c r="E196" s="8" t="s">
        <v>51</v>
      </c>
      <c r="F196" s="8" t="s">
        <v>52</v>
      </c>
      <c r="G196" s="8" t="s">
        <v>69</v>
      </c>
      <c r="H196" s="8" t="n">
        <v>154</v>
      </c>
      <c r="I196" s="9" t="n">
        <v>69.28</v>
      </c>
      <c r="J196" s="9" t="n">
        <v>125.32</v>
      </c>
      <c r="K196" s="15" t="n">
        <v>0.15</v>
      </c>
      <c r="L196" s="9" t="n">
        <f aca="false">H196*J196</f>
        <v>19299.28</v>
      </c>
      <c r="M196" s="9" t="n">
        <f aca="false">L196*K196</f>
        <v>2894.892</v>
      </c>
      <c r="N196" s="9" t="n">
        <f aca="false">L196-M196</f>
        <v>16404.388</v>
      </c>
      <c r="O196" s="9" t="n">
        <f aca="false">H196*I196</f>
        <v>10669.12</v>
      </c>
      <c r="P196" s="9" t="n">
        <f aca="false">N196-O196</f>
        <v>5735.268</v>
      </c>
      <c r="Q196" s="15" t="n">
        <f aca="false">IFERROR(P196/N196,0)</f>
        <v>0.349617919303055</v>
      </c>
    </row>
    <row r="197" customFormat="false" ht="15" hidden="false" customHeight="false" outlineLevel="0" collapsed="false">
      <c r="A197" s="11" t="s">
        <v>329</v>
      </c>
      <c r="B197" s="16" t="s">
        <v>178</v>
      </c>
      <c r="C197" s="11" t="str">
        <f aca="false">TEXT(B197,"mmm-yyyy")</f>
        <v>Oct-2025</v>
      </c>
      <c r="D197" s="11" t="s">
        <v>61</v>
      </c>
      <c r="E197" s="11" t="s">
        <v>72</v>
      </c>
      <c r="F197" s="11" t="s">
        <v>73</v>
      </c>
      <c r="G197" s="11" t="s">
        <v>47</v>
      </c>
      <c r="H197" s="11" t="n">
        <v>294</v>
      </c>
      <c r="I197" s="12" t="n">
        <v>28.15</v>
      </c>
      <c r="J197" s="12" t="n">
        <v>60.24</v>
      </c>
      <c r="K197" s="17" t="n">
        <v>0</v>
      </c>
      <c r="L197" s="12" t="n">
        <f aca="false">H197*J197</f>
        <v>17710.56</v>
      </c>
      <c r="M197" s="12" t="n">
        <f aca="false">L197*K197</f>
        <v>0</v>
      </c>
      <c r="N197" s="12" t="n">
        <f aca="false">L197-M197</f>
        <v>17710.56</v>
      </c>
      <c r="O197" s="12" t="n">
        <f aca="false">H197*I197</f>
        <v>8276.1</v>
      </c>
      <c r="P197" s="12" t="n">
        <f aca="false">N197-O197</f>
        <v>9434.46</v>
      </c>
      <c r="Q197" s="17" t="n">
        <f aca="false">IFERROR(P197/N197,0)</f>
        <v>0.532702523240372</v>
      </c>
    </row>
    <row r="198" customFormat="false" ht="15" hidden="false" customHeight="false" outlineLevel="0" collapsed="false">
      <c r="A198" s="8" t="s">
        <v>262</v>
      </c>
      <c r="B198" s="14" t="s">
        <v>263</v>
      </c>
      <c r="C198" s="8" t="str">
        <f aca="false">TEXT(B198,"mmm-yyyy")</f>
        <v>Oct-2025</v>
      </c>
      <c r="D198" s="8" t="s">
        <v>61</v>
      </c>
      <c r="E198" s="8" t="s">
        <v>114</v>
      </c>
      <c r="F198" s="8" t="s">
        <v>73</v>
      </c>
      <c r="G198" s="8" t="s">
        <v>47</v>
      </c>
      <c r="H198" s="8" t="n">
        <v>232</v>
      </c>
      <c r="I198" s="9" t="n">
        <v>13.69</v>
      </c>
      <c r="J198" s="9" t="n">
        <v>31.16</v>
      </c>
      <c r="K198" s="15" t="n">
        <v>0.1</v>
      </c>
      <c r="L198" s="9" t="n">
        <f aca="false">H198*J198</f>
        <v>7229.12</v>
      </c>
      <c r="M198" s="9" t="n">
        <f aca="false">L198*K198</f>
        <v>722.912</v>
      </c>
      <c r="N198" s="9" t="n">
        <f aca="false">L198-M198</f>
        <v>6506.208</v>
      </c>
      <c r="O198" s="9" t="n">
        <f aca="false">H198*I198</f>
        <v>3176.08</v>
      </c>
      <c r="P198" s="9" t="n">
        <f aca="false">N198-O198</f>
        <v>3330.128</v>
      </c>
      <c r="Q198" s="15" t="n">
        <f aca="false">IFERROR(P198/N198,0)</f>
        <v>0.511838539438026</v>
      </c>
    </row>
    <row r="199" customFormat="false" ht="15" hidden="false" customHeight="false" outlineLevel="0" collapsed="false">
      <c r="A199" s="11" t="s">
        <v>303</v>
      </c>
      <c r="B199" s="16" t="s">
        <v>263</v>
      </c>
      <c r="C199" s="11" t="str">
        <f aca="false">TEXT(B199,"mmm-yyyy")</f>
        <v>Oct-2025</v>
      </c>
      <c r="D199" s="11" t="s">
        <v>40</v>
      </c>
      <c r="E199" s="11" t="s">
        <v>56</v>
      </c>
      <c r="F199" s="11" t="s">
        <v>52</v>
      </c>
      <c r="G199" s="11" t="s">
        <v>69</v>
      </c>
      <c r="H199" s="11" t="n">
        <v>187</v>
      </c>
      <c r="I199" s="12" t="n">
        <v>49.21</v>
      </c>
      <c r="J199" s="12" t="n">
        <v>84.53</v>
      </c>
      <c r="K199" s="17" t="n">
        <v>0.05</v>
      </c>
      <c r="L199" s="12" t="n">
        <f aca="false">H199*J199</f>
        <v>15807.11</v>
      </c>
      <c r="M199" s="12" t="n">
        <f aca="false">L199*K199</f>
        <v>790.3555</v>
      </c>
      <c r="N199" s="12" t="n">
        <f aca="false">L199-M199</f>
        <v>15016.7545</v>
      </c>
      <c r="O199" s="12" t="n">
        <f aca="false">H199*I199</f>
        <v>9202.27</v>
      </c>
      <c r="P199" s="12" t="n">
        <f aca="false">N199-O199</f>
        <v>5814.4845</v>
      </c>
      <c r="Q199" s="17" t="n">
        <f aca="false">IFERROR(P199/N199,0)</f>
        <v>0.387199810718088</v>
      </c>
    </row>
    <row r="200" customFormat="false" ht="15" hidden="false" customHeight="false" outlineLevel="0" collapsed="false">
      <c r="A200" s="8" t="s">
        <v>318</v>
      </c>
      <c r="B200" s="14" t="s">
        <v>196</v>
      </c>
      <c r="C200" s="8" t="str">
        <f aca="false">TEXT(B200,"mmm-yyyy")</f>
        <v>Oct-2025</v>
      </c>
      <c r="D200" s="8" t="s">
        <v>46</v>
      </c>
      <c r="E200" s="8" t="s">
        <v>51</v>
      </c>
      <c r="F200" s="8" t="s">
        <v>52</v>
      </c>
      <c r="G200" s="8" t="s">
        <v>47</v>
      </c>
      <c r="H200" s="8" t="n">
        <v>271</v>
      </c>
      <c r="I200" s="9" t="n">
        <v>68.98</v>
      </c>
      <c r="J200" s="9" t="n">
        <v>123.97</v>
      </c>
      <c r="K200" s="15" t="n">
        <v>0.1</v>
      </c>
      <c r="L200" s="9" t="n">
        <f aca="false">H200*J200</f>
        <v>33595.87</v>
      </c>
      <c r="M200" s="9" t="n">
        <f aca="false">L200*K200</f>
        <v>3359.587</v>
      </c>
      <c r="N200" s="9" t="n">
        <f aca="false">L200-M200</f>
        <v>30236.283</v>
      </c>
      <c r="O200" s="9" t="n">
        <f aca="false">H200*I200</f>
        <v>18693.58</v>
      </c>
      <c r="P200" s="9" t="n">
        <f aca="false">N200-O200</f>
        <v>11542.703</v>
      </c>
      <c r="Q200" s="15" t="n">
        <f aca="false">IFERROR(P200/N200,0)</f>
        <v>0.381750064979879</v>
      </c>
    </row>
    <row r="201" customFormat="false" ht="15" hidden="false" customHeight="false" outlineLevel="0" collapsed="false">
      <c r="A201" s="11" t="s">
        <v>195</v>
      </c>
      <c r="B201" s="16" t="s">
        <v>196</v>
      </c>
      <c r="C201" s="11" t="str">
        <f aca="false">TEXT(B201,"mmm-yyyy")</f>
        <v>Oct-2025</v>
      </c>
      <c r="D201" s="11" t="s">
        <v>46</v>
      </c>
      <c r="E201" s="11" t="s">
        <v>56</v>
      </c>
      <c r="F201" s="11" t="s">
        <v>52</v>
      </c>
      <c r="G201" s="11" t="s">
        <v>43</v>
      </c>
      <c r="H201" s="11" t="n">
        <v>313</v>
      </c>
      <c r="I201" s="12" t="n">
        <v>48.73</v>
      </c>
      <c r="J201" s="12" t="n">
        <v>84.73</v>
      </c>
      <c r="K201" s="17" t="n">
        <v>0</v>
      </c>
      <c r="L201" s="12" t="n">
        <f aca="false">H201*J201</f>
        <v>26520.49</v>
      </c>
      <c r="M201" s="12" t="n">
        <f aca="false">L201*K201</f>
        <v>0</v>
      </c>
      <c r="N201" s="12" t="n">
        <f aca="false">L201-M201</f>
        <v>26520.49</v>
      </c>
      <c r="O201" s="12" t="n">
        <f aca="false">H201*I201</f>
        <v>15252.49</v>
      </c>
      <c r="P201" s="12" t="n">
        <f aca="false">N201-O201</f>
        <v>11268</v>
      </c>
      <c r="Q201" s="17" t="n">
        <f aca="false">IFERROR(P201/N201,0)</f>
        <v>0.424879027499115</v>
      </c>
    </row>
    <row r="202" customFormat="false" ht="15" hidden="false" customHeight="false" outlineLevel="0" collapsed="false">
      <c r="A202" s="8" t="s">
        <v>399</v>
      </c>
      <c r="B202" s="14" t="s">
        <v>196</v>
      </c>
      <c r="C202" s="8" t="str">
        <f aca="false">TEXT(B202,"mmm-yyyy")</f>
        <v>Oct-2025</v>
      </c>
      <c r="D202" s="8" t="s">
        <v>55</v>
      </c>
      <c r="E202" s="8" t="s">
        <v>41</v>
      </c>
      <c r="F202" s="8" t="s">
        <v>42</v>
      </c>
      <c r="G202" s="8" t="s">
        <v>47</v>
      </c>
      <c r="H202" s="8" t="n">
        <v>339</v>
      </c>
      <c r="I202" s="9" t="n">
        <v>21.92</v>
      </c>
      <c r="J202" s="9" t="n">
        <v>44.14</v>
      </c>
      <c r="K202" s="15" t="n">
        <v>0.15</v>
      </c>
      <c r="L202" s="9" t="n">
        <f aca="false">H202*J202</f>
        <v>14963.46</v>
      </c>
      <c r="M202" s="9" t="n">
        <f aca="false">L202*K202</f>
        <v>2244.519</v>
      </c>
      <c r="N202" s="9" t="n">
        <f aca="false">L202-M202</f>
        <v>12718.941</v>
      </c>
      <c r="O202" s="9" t="n">
        <f aca="false">H202*I202</f>
        <v>7430.88</v>
      </c>
      <c r="P202" s="9" t="n">
        <f aca="false">N202-O202</f>
        <v>5288.061</v>
      </c>
      <c r="Q202" s="15" t="n">
        <f aca="false">IFERROR(P202/N202,0)</f>
        <v>0.415762680242011</v>
      </c>
    </row>
    <row r="203" customFormat="false" ht="15" hidden="false" customHeight="false" outlineLevel="0" collapsed="false">
      <c r="A203" s="11" t="s">
        <v>181</v>
      </c>
      <c r="B203" s="16" t="s">
        <v>182</v>
      </c>
      <c r="C203" s="11" t="str">
        <f aca="false">TEXT(B203,"mmm-yyyy")</f>
        <v>Oct-2025</v>
      </c>
      <c r="D203" s="11" t="s">
        <v>40</v>
      </c>
      <c r="E203" s="11" t="s">
        <v>72</v>
      </c>
      <c r="F203" s="11" t="s">
        <v>73</v>
      </c>
      <c r="G203" s="11" t="s">
        <v>69</v>
      </c>
      <c r="H203" s="11" t="n">
        <v>313</v>
      </c>
      <c r="I203" s="12" t="n">
        <v>28.16</v>
      </c>
      <c r="J203" s="12" t="n">
        <v>60.85</v>
      </c>
      <c r="K203" s="17" t="n">
        <v>0</v>
      </c>
      <c r="L203" s="12" t="n">
        <f aca="false">H203*J203</f>
        <v>19046.05</v>
      </c>
      <c r="M203" s="12" t="n">
        <f aca="false">L203*K203</f>
        <v>0</v>
      </c>
      <c r="N203" s="12" t="n">
        <f aca="false">L203-M203</f>
        <v>19046.05</v>
      </c>
      <c r="O203" s="12" t="n">
        <f aca="false">H203*I203</f>
        <v>8814.08</v>
      </c>
      <c r="P203" s="12" t="n">
        <f aca="false">N203-O203</f>
        <v>10231.97</v>
      </c>
      <c r="Q203" s="17" t="n">
        <f aca="false">IFERROR(P203/N203,0)</f>
        <v>0.537222678718159</v>
      </c>
    </row>
    <row r="204" customFormat="false" ht="15" hidden="false" customHeight="false" outlineLevel="0" collapsed="false">
      <c r="A204" s="8" t="s">
        <v>465</v>
      </c>
      <c r="B204" s="14" t="s">
        <v>466</v>
      </c>
      <c r="C204" s="8" t="str">
        <f aca="false">TEXT(B204,"mmm-yyyy")</f>
        <v>Nov-2025</v>
      </c>
      <c r="D204" s="8" t="s">
        <v>55</v>
      </c>
      <c r="E204" s="8" t="s">
        <v>114</v>
      </c>
      <c r="F204" s="8" t="s">
        <v>73</v>
      </c>
      <c r="G204" s="8" t="s">
        <v>69</v>
      </c>
      <c r="H204" s="8" t="n">
        <v>303</v>
      </c>
      <c r="I204" s="9" t="n">
        <v>13.67</v>
      </c>
      <c r="J204" s="9" t="n">
        <v>30.9</v>
      </c>
      <c r="K204" s="15" t="n">
        <v>0</v>
      </c>
      <c r="L204" s="9" t="n">
        <f aca="false">H204*J204</f>
        <v>9362.7</v>
      </c>
      <c r="M204" s="9" t="n">
        <f aca="false">L204*K204</f>
        <v>0</v>
      </c>
      <c r="N204" s="9" t="n">
        <f aca="false">L204-M204</f>
        <v>9362.7</v>
      </c>
      <c r="O204" s="9" t="n">
        <f aca="false">H204*I204</f>
        <v>4142.01</v>
      </c>
      <c r="P204" s="9" t="n">
        <f aca="false">N204-O204</f>
        <v>5220.69</v>
      </c>
      <c r="Q204" s="15" t="n">
        <f aca="false">IFERROR(P204/N204,0)</f>
        <v>0.557605177993527</v>
      </c>
    </row>
    <row r="205" customFormat="false" ht="15" hidden="false" customHeight="false" outlineLevel="0" collapsed="false">
      <c r="A205" s="11" t="s">
        <v>351</v>
      </c>
      <c r="B205" s="16" t="s">
        <v>352</v>
      </c>
      <c r="C205" s="11" t="str">
        <f aca="false">TEXT(B205,"mmm-yyyy")</f>
        <v>Nov-2025</v>
      </c>
      <c r="D205" s="11" t="s">
        <v>40</v>
      </c>
      <c r="E205" s="11" t="s">
        <v>56</v>
      </c>
      <c r="F205" s="11" t="s">
        <v>52</v>
      </c>
      <c r="G205" s="11" t="s">
        <v>43</v>
      </c>
      <c r="H205" s="11" t="n">
        <v>237</v>
      </c>
      <c r="I205" s="12" t="n">
        <v>50.72</v>
      </c>
      <c r="J205" s="12" t="n">
        <v>81.57</v>
      </c>
      <c r="K205" s="17" t="n">
        <v>0</v>
      </c>
      <c r="L205" s="12" t="n">
        <f aca="false">H205*J205</f>
        <v>19332.09</v>
      </c>
      <c r="M205" s="12" t="n">
        <f aca="false">L205*K205</f>
        <v>0</v>
      </c>
      <c r="N205" s="12" t="n">
        <f aca="false">L205-M205</f>
        <v>19332.09</v>
      </c>
      <c r="O205" s="12" t="n">
        <f aca="false">H205*I205</f>
        <v>12020.64</v>
      </c>
      <c r="P205" s="12" t="n">
        <f aca="false">N205-O205</f>
        <v>7311.45</v>
      </c>
      <c r="Q205" s="17" t="n">
        <f aca="false">IFERROR(P205/N205,0)</f>
        <v>0.378202770626456</v>
      </c>
    </row>
    <row r="206" customFormat="false" ht="15" hidden="false" customHeight="false" outlineLevel="0" collapsed="false">
      <c r="A206" s="8" t="s">
        <v>135</v>
      </c>
      <c r="B206" s="14" t="s">
        <v>136</v>
      </c>
      <c r="C206" s="8" t="str">
        <f aca="false">TEXT(B206,"mmm-yyyy")</f>
        <v>Nov-2025</v>
      </c>
      <c r="D206" s="8" t="s">
        <v>40</v>
      </c>
      <c r="E206" s="8" t="s">
        <v>51</v>
      </c>
      <c r="F206" s="8" t="s">
        <v>52</v>
      </c>
      <c r="G206" s="8" t="s">
        <v>69</v>
      </c>
      <c r="H206" s="8" t="n">
        <v>181</v>
      </c>
      <c r="I206" s="9" t="n">
        <v>68.54</v>
      </c>
      <c r="J206" s="9" t="n">
        <v>118.49</v>
      </c>
      <c r="K206" s="15" t="n">
        <v>0.1</v>
      </c>
      <c r="L206" s="9" t="n">
        <f aca="false">H206*J206</f>
        <v>21446.69</v>
      </c>
      <c r="M206" s="9" t="n">
        <f aca="false">L206*K206</f>
        <v>2144.669</v>
      </c>
      <c r="N206" s="9" t="n">
        <f aca="false">L206-M206</f>
        <v>19302.021</v>
      </c>
      <c r="O206" s="9" t="n">
        <f aca="false">H206*I206</f>
        <v>12405.74</v>
      </c>
      <c r="P206" s="9" t="n">
        <f aca="false">N206-O206</f>
        <v>6896.281</v>
      </c>
      <c r="Q206" s="15" t="n">
        <f aca="false">IFERROR(P206/N206,0)</f>
        <v>0.357282846184863</v>
      </c>
    </row>
    <row r="207" customFormat="false" ht="15" hidden="false" customHeight="false" outlineLevel="0" collapsed="false">
      <c r="A207" s="11" t="s">
        <v>193</v>
      </c>
      <c r="B207" s="16" t="s">
        <v>194</v>
      </c>
      <c r="C207" s="11" t="str">
        <f aca="false">TEXT(B207,"mmm-yyyy")</f>
        <v>Nov-2025</v>
      </c>
      <c r="D207" s="11" t="s">
        <v>46</v>
      </c>
      <c r="E207" s="11" t="s">
        <v>114</v>
      </c>
      <c r="F207" s="11" t="s">
        <v>73</v>
      </c>
      <c r="G207" s="11" t="s">
        <v>43</v>
      </c>
      <c r="H207" s="11" t="n">
        <v>232</v>
      </c>
      <c r="I207" s="12" t="n">
        <v>14.29</v>
      </c>
      <c r="J207" s="12" t="n">
        <v>31.5</v>
      </c>
      <c r="K207" s="17" t="n">
        <v>0.1</v>
      </c>
      <c r="L207" s="12" t="n">
        <f aca="false">H207*J207</f>
        <v>7308</v>
      </c>
      <c r="M207" s="12" t="n">
        <f aca="false">L207*K207</f>
        <v>730.8</v>
      </c>
      <c r="N207" s="12" t="n">
        <f aca="false">L207-M207</f>
        <v>6577.2</v>
      </c>
      <c r="O207" s="12" t="n">
        <f aca="false">H207*I207</f>
        <v>3315.28</v>
      </c>
      <c r="P207" s="12" t="n">
        <f aca="false">N207-O207</f>
        <v>3261.92</v>
      </c>
      <c r="Q207" s="17" t="n">
        <f aca="false">IFERROR(P207/N207,0)</f>
        <v>0.495943562610229</v>
      </c>
    </row>
    <row r="208" customFormat="false" ht="15" hidden="false" customHeight="false" outlineLevel="0" collapsed="false">
      <c r="A208" s="8" t="s">
        <v>397</v>
      </c>
      <c r="B208" s="14" t="s">
        <v>194</v>
      </c>
      <c r="C208" s="8" t="str">
        <f aca="false">TEXT(B208,"mmm-yyyy")</f>
        <v>Nov-2025</v>
      </c>
      <c r="D208" s="8" t="s">
        <v>40</v>
      </c>
      <c r="E208" s="8" t="s">
        <v>41</v>
      </c>
      <c r="F208" s="8" t="s">
        <v>42</v>
      </c>
      <c r="G208" s="8" t="s">
        <v>43</v>
      </c>
      <c r="H208" s="8" t="n">
        <v>207</v>
      </c>
      <c r="I208" s="9" t="n">
        <v>22.08</v>
      </c>
      <c r="J208" s="9" t="n">
        <v>45.39</v>
      </c>
      <c r="K208" s="15" t="n">
        <v>0.05</v>
      </c>
      <c r="L208" s="9" t="n">
        <f aca="false">H208*J208</f>
        <v>9395.73</v>
      </c>
      <c r="M208" s="9" t="n">
        <f aca="false">L208*K208</f>
        <v>469.7865</v>
      </c>
      <c r="N208" s="9" t="n">
        <f aca="false">L208-M208</f>
        <v>8925.9435</v>
      </c>
      <c r="O208" s="9" t="n">
        <f aca="false">H208*I208</f>
        <v>4570.56</v>
      </c>
      <c r="P208" s="9" t="n">
        <f aca="false">N208-O208</f>
        <v>4355.3835</v>
      </c>
      <c r="Q208" s="15" t="n">
        <f aca="false">IFERROR(P208/N208,0)</f>
        <v>0.487946568337566</v>
      </c>
    </row>
    <row r="209" customFormat="false" ht="15" hidden="false" customHeight="false" outlineLevel="0" collapsed="false">
      <c r="A209" s="11" t="s">
        <v>143</v>
      </c>
      <c r="B209" s="16" t="s">
        <v>144</v>
      </c>
      <c r="C209" s="11" t="str">
        <f aca="false">TEXT(B209,"mmm-yyyy")</f>
        <v>Nov-2025</v>
      </c>
      <c r="D209" s="11" t="s">
        <v>55</v>
      </c>
      <c r="E209" s="11" t="s">
        <v>72</v>
      </c>
      <c r="F209" s="11" t="s">
        <v>73</v>
      </c>
      <c r="G209" s="11" t="s">
        <v>69</v>
      </c>
      <c r="H209" s="11" t="n">
        <v>230</v>
      </c>
      <c r="I209" s="12" t="n">
        <v>27.19</v>
      </c>
      <c r="J209" s="12" t="n">
        <v>60.53</v>
      </c>
      <c r="K209" s="17" t="n">
        <v>0.05</v>
      </c>
      <c r="L209" s="12" t="n">
        <f aca="false">H209*J209</f>
        <v>13921.9</v>
      </c>
      <c r="M209" s="12" t="n">
        <f aca="false">L209*K209</f>
        <v>696.095</v>
      </c>
      <c r="N209" s="12" t="n">
        <f aca="false">L209-M209</f>
        <v>13225.805</v>
      </c>
      <c r="O209" s="12" t="n">
        <f aca="false">H209*I209</f>
        <v>6253.7</v>
      </c>
      <c r="P209" s="12" t="n">
        <f aca="false">N209-O209</f>
        <v>6972.105</v>
      </c>
      <c r="Q209" s="17" t="n">
        <f aca="false">IFERROR(P209/N209,0)</f>
        <v>0.527159216395524</v>
      </c>
    </row>
    <row r="210" customFormat="false" ht="15" hidden="false" customHeight="false" outlineLevel="0" collapsed="false">
      <c r="A210" s="8" t="s">
        <v>229</v>
      </c>
      <c r="B210" s="14" t="s">
        <v>144</v>
      </c>
      <c r="C210" s="8" t="str">
        <f aca="false">TEXT(B210,"mmm-yyyy")</f>
        <v>Nov-2025</v>
      </c>
      <c r="D210" s="8" t="s">
        <v>40</v>
      </c>
      <c r="E210" s="8" t="s">
        <v>72</v>
      </c>
      <c r="F210" s="8" t="s">
        <v>73</v>
      </c>
      <c r="G210" s="8" t="s">
        <v>69</v>
      </c>
      <c r="H210" s="8" t="n">
        <v>280</v>
      </c>
      <c r="I210" s="9" t="n">
        <v>27.33</v>
      </c>
      <c r="J210" s="9" t="n">
        <v>58.87</v>
      </c>
      <c r="K210" s="15" t="n">
        <v>0.15</v>
      </c>
      <c r="L210" s="9" t="n">
        <f aca="false">H210*J210</f>
        <v>16483.6</v>
      </c>
      <c r="M210" s="9" t="n">
        <f aca="false">L210*K210</f>
        <v>2472.54</v>
      </c>
      <c r="N210" s="9" t="n">
        <f aca="false">L210-M210</f>
        <v>14011.06</v>
      </c>
      <c r="O210" s="9" t="n">
        <f aca="false">H210*I210</f>
        <v>7652.4</v>
      </c>
      <c r="P210" s="9" t="n">
        <f aca="false">N210-O210</f>
        <v>6358.66</v>
      </c>
      <c r="Q210" s="15" t="n">
        <f aca="false">IFERROR(P210/N210,0)</f>
        <v>0.453831473136222</v>
      </c>
    </row>
    <row r="211" customFormat="false" ht="15" hidden="false" customHeight="false" outlineLevel="0" collapsed="false">
      <c r="A211" s="11" t="s">
        <v>95</v>
      </c>
      <c r="B211" s="16" t="s">
        <v>96</v>
      </c>
      <c r="C211" s="11" t="str">
        <f aca="false">TEXT(B211,"mmm-yyyy")</f>
        <v>Nov-2025</v>
      </c>
      <c r="D211" s="11" t="s">
        <v>61</v>
      </c>
      <c r="E211" s="11" t="s">
        <v>72</v>
      </c>
      <c r="F211" s="11" t="s">
        <v>73</v>
      </c>
      <c r="G211" s="11" t="s">
        <v>43</v>
      </c>
      <c r="H211" s="11" t="n">
        <v>279</v>
      </c>
      <c r="I211" s="12" t="n">
        <v>27.69</v>
      </c>
      <c r="J211" s="12" t="n">
        <v>61.38</v>
      </c>
      <c r="K211" s="17" t="n">
        <v>0.05</v>
      </c>
      <c r="L211" s="12" t="n">
        <f aca="false">H211*J211</f>
        <v>17125.02</v>
      </c>
      <c r="M211" s="12" t="n">
        <f aca="false">L211*K211</f>
        <v>856.251</v>
      </c>
      <c r="N211" s="12" t="n">
        <f aca="false">L211-M211</f>
        <v>16268.769</v>
      </c>
      <c r="O211" s="12" t="n">
        <f aca="false">H211*I211</f>
        <v>7725.51</v>
      </c>
      <c r="P211" s="12" t="n">
        <f aca="false">N211-O211</f>
        <v>8543.259</v>
      </c>
      <c r="Q211" s="17" t="n">
        <f aca="false">IFERROR(P211/N211,0)</f>
        <v>0.525132479292072</v>
      </c>
    </row>
    <row r="212" customFormat="false" ht="15" hidden="false" customHeight="false" outlineLevel="0" collapsed="false">
      <c r="A212" s="8" t="s">
        <v>426</v>
      </c>
      <c r="B212" s="14" t="s">
        <v>96</v>
      </c>
      <c r="C212" s="8" t="str">
        <f aca="false">TEXT(B212,"mmm-yyyy")</f>
        <v>Nov-2025</v>
      </c>
      <c r="D212" s="8" t="s">
        <v>55</v>
      </c>
      <c r="E212" s="8" t="s">
        <v>41</v>
      </c>
      <c r="F212" s="8" t="s">
        <v>42</v>
      </c>
      <c r="G212" s="8" t="s">
        <v>43</v>
      </c>
      <c r="H212" s="8" t="n">
        <v>310</v>
      </c>
      <c r="I212" s="9" t="n">
        <v>21.53</v>
      </c>
      <c r="J212" s="9" t="n">
        <v>46.61</v>
      </c>
      <c r="K212" s="15" t="n">
        <v>0</v>
      </c>
      <c r="L212" s="9" t="n">
        <f aca="false">H212*J212</f>
        <v>14449.1</v>
      </c>
      <c r="M212" s="9" t="n">
        <f aca="false">L212*K212</f>
        <v>0</v>
      </c>
      <c r="N212" s="9" t="n">
        <f aca="false">L212-M212</f>
        <v>14449.1</v>
      </c>
      <c r="O212" s="9" t="n">
        <f aca="false">H212*I212</f>
        <v>6674.3</v>
      </c>
      <c r="P212" s="9" t="n">
        <f aca="false">N212-O212</f>
        <v>7774.8</v>
      </c>
      <c r="Q212" s="15" t="n">
        <f aca="false">IFERROR(P212/N212,0)</f>
        <v>0.538081956661661</v>
      </c>
    </row>
    <row r="213" customFormat="false" ht="15" hidden="false" customHeight="false" outlineLevel="0" collapsed="false">
      <c r="A213" s="11" t="s">
        <v>393</v>
      </c>
      <c r="B213" s="16" t="s">
        <v>310</v>
      </c>
      <c r="C213" s="11" t="str">
        <f aca="false">TEXT(B213,"mmm-yyyy")</f>
        <v>Nov-2025</v>
      </c>
      <c r="D213" s="11" t="s">
        <v>61</v>
      </c>
      <c r="E213" s="11" t="s">
        <v>51</v>
      </c>
      <c r="F213" s="11" t="s">
        <v>52</v>
      </c>
      <c r="G213" s="11" t="s">
        <v>43</v>
      </c>
      <c r="H213" s="11" t="n">
        <v>236</v>
      </c>
      <c r="I213" s="12" t="n">
        <v>70.56</v>
      </c>
      <c r="J213" s="12" t="n">
        <v>117.3</v>
      </c>
      <c r="K213" s="17" t="n">
        <v>0.15</v>
      </c>
      <c r="L213" s="12" t="n">
        <f aca="false">H213*J213</f>
        <v>27682.8</v>
      </c>
      <c r="M213" s="12" t="n">
        <f aca="false">L213*K213</f>
        <v>4152.42</v>
      </c>
      <c r="N213" s="12" t="n">
        <f aca="false">L213-M213</f>
        <v>23530.38</v>
      </c>
      <c r="O213" s="12" t="n">
        <f aca="false">H213*I213</f>
        <v>16652.16</v>
      </c>
      <c r="P213" s="12" t="n">
        <f aca="false">N213-O213</f>
        <v>6878.22</v>
      </c>
      <c r="Q213" s="17" t="n">
        <f aca="false">IFERROR(P213/N213,0)</f>
        <v>0.292312321347976</v>
      </c>
    </row>
    <row r="214" customFormat="false" ht="15" hidden="false" customHeight="false" outlineLevel="0" collapsed="false">
      <c r="A214" s="8" t="s">
        <v>309</v>
      </c>
      <c r="B214" s="14" t="s">
        <v>310</v>
      </c>
      <c r="C214" s="8" t="str">
        <f aca="false">TEXT(B214,"mmm-yyyy")</f>
        <v>Nov-2025</v>
      </c>
      <c r="D214" s="8" t="s">
        <v>61</v>
      </c>
      <c r="E214" s="8" t="s">
        <v>114</v>
      </c>
      <c r="F214" s="8" t="s">
        <v>73</v>
      </c>
      <c r="G214" s="8" t="s">
        <v>47</v>
      </c>
      <c r="H214" s="8" t="n">
        <v>237</v>
      </c>
      <c r="I214" s="9" t="n">
        <v>13.96</v>
      </c>
      <c r="J214" s="9" t="n">
        <v>29.15</v>
      </c>
      <c r="K214" s="15" t="n">
        <v>0</v>
      </c>
      <c r="L214" s="9" t="n">
        <f aca="false">H214*J214</f>
        <v>6908.55</v>
      </c>
      <c r="M214" s="9" t="n">
        <f aca="false">L214*K214</f>
        <v>0</v>
      </c>
      <c r="N214" s="9" t="n">
        <f aca="false">L214-M214</f>
        <v>6908.55</v>
      </c>
      <c r="O214" s="9" t="n">
        <f aca="false">H214*I214</f>
        <v>3308.52</v>
      </c>
      <c r="P214" s="9" t="n">
        <f aca="false">N214-O214</f>
        <v>3600.03</v>
      </c>
      <c r="Q214" s="15" t="n">
        <f aca="false">IFERROR(P214/N214,0)</f>
        <v>0.521097770154374</v>
      </c>
    </row>
    <row r="215" customFormat="false" ht="15" hidden="false" customHeight="false" outlineLevel="0" collapsed="false">
      <c r="A215" s="11" t="s">
        <v>389</v>
      </c>
      <c r="B215" s="16" t="s">
        <v>310</v>
      </c>
      <c r="C215" s="11" t="str">
        <f aca="false">TEXT(B215,"mmm-yyyy")</f>
        <v>Nov-2025</v>
      </c>
      <c r="D215" s="11" t="s">
        <v>46</v>
      </c>
      <c r="E215" s="11" t="s">
        <v>72</v>
      </c>
      <c r="F215" s="11" t="s">
        <v>73</v>
      </c>
      <c r="G215" s="11" t="s">
        <v>69</v>
      </c>
      <c r="H215" s="11" t="n">
        <v>267</v>
      </c>
      <c r="I215" s="12" t="n">
        <v>28.69</v>
      </c>
      <c r="J215" s="12" t="n">
        <v>59.94</v>
      </c>
      <c r="K215" s="17" t="n">
        <v>0</v>
      </c>
      <c r="L215" s="12" t="n">
        <f aca="false">H215*J215</f>
        <v>16003.98</v>
      </c>
      <c r="M215" s="12" t="n">
        <f aca="false">L215*K215</f>
        <v>0</v>
      </c>
      <c r="N215" s="12" t="n">
        <f aca="false">L215-M215</f>
        <v>16003.98</v>
      </c>
      <c r="O215" s="12" t="n">
        <f aca="false">H215*I215</f>
        <v>7660.23</v>
      </c>
      <c r="P215" s="12" t="n">
        <f aca="false">N215-O215</f>
        <v>8343.75</v>
      </c>
      <c r="Q215" s="17" t="n">
        <f aca="false">IFERROR(P215/N215,0)</f>
        <v>0.521354688021355</v>
      </c>
    </row>
    <row r="216" customFormat="false" ht="15" hidden="false" customHeight="false" outlineLevel="0" collapsed="false">
      <c r="A216" s="8" t="s">
        <v>264</v>
      </c>
      <c r="B216" s="14" t="s">
        <v>265</v>
      </c>
      <c r="C216" s="8" t="str">
        <f aca="false">TEXT(B216,"mmm-yyyy")</f>
        <v>Nov-2025</v>
      </c>
      <c r="D216" s="8" t="s">
        <v>46</v>
      </c>
      <c r="E216" s="8" t="s">
        <v>51</v>
      </c>
      <c r="F216" s="8" t="s">
        <v>52</v>
      </c>
      <c r="G216" s="8" t="s">
        <v>47</v>
      </c>
      <c r="H216" s="8" t="n">
        <v>364</v>
      </c>
      <c r="I216" s="9" t="n">
        <v>70.11</v>
      </c>
      <c r="J216" s="9" t="n">
        <v>122.9</v>
      </c>
      <c r="K216" s="15" t="n">
        <v>0</v>
      </c>
      <c r="L216" s="9" t="n">
        <f aca="false">H216*J216</f>
        <v>44735.6</v>
      </c>
      <c r="M216" s="9" t="n">
        <f aca="false">L216*K216</f>
        <v>0</v>
      </c>
      <c r="N216" s="9" t="n">
        <f aca="false">L216-M216</f>
        <v>44735.6</v>
      </c>
      <c r="O216" s="9" t="n">
        <f aca="false">H216*I216</f>
        <v>25520.04</v>
      </c>
      <c r="P216" s="9" t="n">
        <f aca="false">N216-O216</f>
        <v>19215.56</v>
      </c>
      <c r="Q216" s="15" t="n">
        <f aca="false">IFERROR(P216/N216,0)</f>
        <v>0.42953620829943</v>
      </c>
    </row>
    <row r="217" customFormat="false" ht="15" hidden="false" customHeight="false" outlineLevel="0" collapsed="false">
      <c r="A217" s="11" t="s">
        <v>420</v>
      </c>
      <c r="B217" s="16" t="s">
        <v>265</v>
      </c>
      <c r="C217" s="11" t="str">
        <f aca="false">TEXT(B217,"mmm-yyyy")</f>
        <v>Nov-2025</v>
      </c>
      <c r="D217" s="11" t="s">
        <v>46</v>
      </c>
      <c r="E217" s="11" t="s">
        <v>41</v>
      </c>
      <c r="F217" s="11" t="s">
        <v>42</v>
      </c>
      <c r="G217" s="11" t="s">
        <v>47</v>
      </c>
      <c r="H217" s="11" t="n">
        <v>206</v>
      </c>
      <c r="I217" s="12" t="n">
        <v>22.48</v>
      </c>
      <c r="J217" s="12" t="n">
        <v>46.27</v>
      </c>
      <c r="K217" s="17" t="n">
        <v>0.15</v>
      </c>
      <c r="L217" s="12" t="n">
        <f aca="false">H217*J217</f>
        <v>9531.62</v>
      </c>
      <c r="M217" s="12" t="n">
        <f aca="false">L217*K217</f>
        <v>1429.743</v>
      </c>
      <c r="N217" s="12" t="n">
        <f aca="false">L217-M217</f>
        <v>8101.877</v>
      </c>
      <c r="O217" s="12" t="n">
        <f aca="false">H217*I217</f>
        <v>4630.88</v>
      </c>
      <c r="P217" s="12" t="n">
        <f aca="false">N217-O217</f>
        <v>3470.997</v>
      </c>
      <c r="Q217" s="17" t="n">
        <f aca="false">IFERROR(P217/N217,0)</f>
        <v>0.428418871330681</v>
      </c>
    </row>
    <row r="218" customFormat="false" ht="15" hidden="false" customHeight="false" outlineLevel="0" collapsed="false">
      <c r="A218" s="8" t="s">
        <v>173</v>
      </c>
      <c r="B218" s="14" t="s">
        <v>174</v>
      </c>
      <c r="C218" s="8" t="str">
        <f aca="false">TEXT(B218,"mmm-yyyy")</f>
        <v>Nov-2025</v>
      </c>
      <c r="D218" s="8" t="s">
        <v>61</v>
      </c>
      <c r="E218" s="8" t="s">
        <v>56</v>
      </c>
      <c r="F218" s="8" t="s">
        <v>52</v>
      </c>
      <c r="G218" s="8" t="s">
        <v>47</v>
      </c>
      <c r="H218" s="8" t="n">
        <v>240</v>
      </c>
      <c r="I218" s="9" t="n">
        <v>50.29</v>
      </c>
      <c r="J218" s="9" t="n">
        <v>83.99</v>
      </c>
      <c r="K218" s="15" t="n">
        <v>0.05</v>
      </c>
      <c r="L218" s="9" t="n">
        <f aca="false">H218*J218</f>
        <v>20157.6</v>
      </c>
      <c r="M218" s="9" t="n">
        <f aca="false">L218*K218</f>
        <v>1007.88</v>
      </c>
      <c r="N218" s="9" t="n">
        <f aca="false">L218-M218</f>
        <v>19149.72</v>
      </c>
      <c r="O218" s="9" t="n">
        <f aca="false">H218*I218</f>
        <v>12069.6</v>
      </c>
      <c r="P218" s="9" t="n">
        <f aca="false">N218-O218</f>
        <v>7080.12</v>
      </c>
      <c r="Q218" s="15" t="n">
        <f aca="false">IFERROR(P218/N218,0)</f>
        <v>0.369724465945194</v>
      </c>
    </row>
    <row r="219" customFormat="false" ht="15" hidden="false" customHeight="false" outlineLevel="0" collapsed="false">
      <c r="A219" s="11" t="s">
        <v>344</v>
      </c>
      <c r="B219" s="16" t="s">
        <v>345</v>
      </c>
      <c r="C219" s="11" t="str">
        <f aca="false">TEXT(B219,"mmm-yyyy")</f>
        <v>Nov-2025</v>
      </c>
      <c r="D219" s="11" t="s">
        <v>55</v>
      </c>
      <c r="E219" s="11" t="s">
        <v>51</v>
      </c>
      <c r="F219" s="11" t="s">
        <v>52</v>
      </c>
      <c r="G219" s="11" t="s">
        <v>69</v>
      </c>
      <c r="H219" s="11" t="n">
        <v>204</v>
      </c>
      <c r="I219" s="12" t="n">
        <v>68.76</v>
      </c>
      <c r="J219" s="12" t="n">
        <v>123.44</v>
      </c>
      <c r="K219" s="17" t="n">
        <v>0.15</v>
      </c>
      <c r="L219" s="12" t="n">
        <f aca="false">H219*J219</f>
        <v>25181.76</v>
      </c>
      <c r="M219" s="12" t="n">
        <f aca="false">L219*K219</f>
        <v>3777.264</v>
      </c>
      <c r="N219" s="12" t="n">
        <f aca="false">L219-M219</f>
        <v>21404.496</v>
      </c>
      <c r="O219" s="12" t="n">
        <f aca="false">H219*I219</f>
        <v>14027.04</v>
      </c>
      <c r="P219" s="12" t="n">
        <f aca="false">N219-O219</f>
        <v>7377.456</v>
      </c>
      <c r="Q219" s="17" t="n">
        <f aca="false">IFERROR(P219/N219,0)</f>
        <v>0.344668521977812</v>
      </c>
    </row>
    <row r="220" customFormat="false" ht="15" hidden="false" customHeight="false" outlineLevel="0" collapsed="false">
      <c r="A220" s="8" t="s">
        <v>438</v>
      </c>
      <c r="B220" s="14" t="s">
        <v>439</v>
      </c>
      <c r="C220" s="8" t="str">
        <f aca="false">TEXT(B220,"mmm-yyyy")</f>
        <v>Nov-2025</v>
      </c>
      <c r="D220" s="8" t="s">
        <v>40</v>
      </c>
      <c r="E220" s="8" t="s">
        <v>114</v>
      </c>
      <c r="F220" s="8" t="s">
        <v>73</v>
      </c>
      <c r="G220" s="8" t="s">
        <v>47</v>
      </c>
      <c r="H220" s="8" t="n">
        <v>139</v>
      </c>
      <c r="I220" s="9" t="n">
        <v>13.94</v>
      </c>
      <c r="J220" s="9" t="n">
        <v>31.32</v>
      </c>
      <c r="K220" s="15" t="n">
        <v>0</v>
      </c>
      <c r="L220" s="9" t="n">
        <f aca="false">H220*J220</f>
        <v>4353.48</v>
      </c>
      <c r="M220" s="9" t="n">
        <f aca="false">L220*K220</f>
        <v>0</v>
      </c>
      <c r="N220" s="9" t="n">
        <f aca="false">L220-M220</f>
        <v>4353.48</v>
      </c>
      <c r="O220" s="9" t="n">
        <f aca="false">H220*I220</f>
        <v>1937.66</v>
      </c>
      <c r="P220" s="9" t="n">
        <f aca="false">N220-O220</f>
        <v>2415.82</v>
      </c>
      <c r="Q220" s="15" t="n">
        <f aca="false">IFERROR(P220/N220,0)</f>
        <v>0.554916985951469</v>
      </c>
    </row>
    <row r="221" customFormat="false" ht="15" hidden="false" customHeight="false" outlineLevel="0" collapsed="false">
      <c r="A221" s="11" t="s">
        <v>220</v>
      </c>
      <c r="B221" s="16" t="s">
        <v>221</v>
      </c>
      <c r="C221" s="11" t="str">
        <f aca="false">TEXT(B221,"mmm-yyyy")</f>
        <v>Nov-2025</v>
      </c>
      <c r="D221" s="11" t="s">
        <v>46</v>
      </c>
      <c r="E221" s="11" t="s">
        <v>56</v>
      </c>
      <c r="F221" s="11" t="s">
        <v>52</v>
      </c>
      <c r="G221" s="11" t="s">
        <v>69</v>
      </c>
      <c r="H221" s="11" t="n">
        <v>292</v>
      </c>
      <c r="I221" s="12" t="n">
        <v>50.01</v>
      </c>
      <c r="J221" s="12" t="n">
        <v>81.68</v>
      </c>
      <c r="K221" s="17" t="n">
        <v>0.15</v>
      </c>
      <c r="L221" s="12" t="n">
        <f aca="false">H221*J221</f>
        <v>23850.56</v>
      </c>
      <c r="M221" s="12" t="n">
        <f aca="false">L221*K221</f>
        <v>3577.584</v>
      </c>
      <c r="N221" s="12" t="n">
        <f aca="false">L221-M221</f>
        <v>20272.976</v>
      </c>
      <c r="O221" s="12" t="n">
        <f aca="false">H221*I221</f>
        <v>14602.92</v>
      </c>
      <c r="P221" s="12" t="n">
        <f aca="false">N221-O221</f>
        <v>5670.056</v>
      </c>
      <c r="Q221" s="17" t="n">
        <f aca="false">IFERROR(P221/N221,0)</f>
        <v>0.279685429509708</v>
      </c>
    </row>
    <row r="222" customFormat="false" ht="15" hidden="false" customHeight="false" outlineLevel="0" collapsed="false">
      <c r="A222" s="8" t="s">
        <v>161</v>
      </c>
      <c r="B222" s="14" t="s">
        <v>162</v>
      </c>
      <c r="C222" s="8" t="str">
        <f aca="false">TEXT(B222,"mmm-yyyy")</f>
        <v>Nov-2025</v>
      </c>
      <c r="D222" s="8" t="s">
        <v>55</v>
      </c>
      <c r="E222" s="8" t="s">
        <v>56</v>
      </c>
      <c r="F222" s="8" t="s">
        <v>52</v>
      </c>
      <c r="G222" s="8" t="s">
        <v>69</v>
      </c>
      <c r="H222" s="8" t="n">
        <v>483</v>
      </c>
      <c r="I222" s="9" t="n">
        <v>51.11</v>
      </c>
      <c r="J222" s="9" t="n">
        <v>82.59</v>
      </c>
      <c r="K222" s="15" t="n">
        <v>0.05</v>
      </c>
      <c r="L222" s="9" t="n">
        <f aca="false">H222*J222</f>
        <v>39890.97</v>
      </c>
      <c r="M222" s="9" t="n">
        <f aca="false">L222*K222</f>
        <v>1994.5485</v>
      </c>
      <c r="N222" s="9" t="n">
        <f aca="false">L222-M222</f>
        <v>37896.4215</v>
      </c>
      <c r="O222" s="9" t="n">
        <f aca="false">H222*I222</f>
        <v>24686.13</v>
      </c>
      <c r="P222" s="9" t="n">
        <f aca="false">N222-O222</f>
        <v>13210.2915</v>
      </c>
      <c r="Q222" s="15" t="n">
        <f aca="false">IFERROR(P222/N222,0)</f>
        <v>0.348589417605037</v>
      </c>
    </row>
    <row r="223" customFormat="false" ht="15" hidden="false" customHeight="false" outlineLevel="0" collapsed="false">
      <c r="A223" s="11" t="s">
        <v>445</v>
      </c>
      <c r="B223" s="16" t="s">
        <v>446</v>
      </c>
      <c r="C223" s="11" t="str">
        <f aca="false">TEXT(B223,"mmm-yyyy")</f>
        <v>Nov-2025</v>
      </c>
      <c r="D223" s="11" t="s">
        <v>61</v>
      </c>
      <c r="E223" s="11" t="s">
        <v>41</v>
      </c>
      <c r="F223" s="11" t="s">
        <v>42</v>
      </c>
      <c r="G223" s="11" t="s">
        <v>43</v>
      </c>
      <c r="H223" s="11" t="n">
        <v>232</v>
      </c>
      <c r="I223" s="12" t="n">
        <v>22.47</v>
      </c>
      <c r="J223" s="12" t="n">
        <v>45.91</v>
      </c>
      <c r="K223" s="17" t="n">
        <v>0.15</v>
      </c>
      <c r="L223" s="12" t="n">
        <f aca="false">H223*J223</f>
        <v>10651.12</v>
      </c>
      <c r="M223" s="12" t="n">
        <f aca="false">L223*K223</f>
        <v>1597.668</v>
      </c>
      <c r="N223" s="12" t="n">
        <f aca="false">L223-M223</f>
        <v>9053.452</v>
      </c>
      <c r="O223" s="12" t="n">
        <f aca="false">H223*I223</f>
        <v>5213.04</v>
      </c>
      <c r="P223" s="12" t="n">
        <f aca="false">N223-O223</f>
        <v>3840.412</v>
      </c>
      <c r="Q223" s="17" t="n">
        <f aca="false">IFERROR(P223/N223,0)</f>
        <v>0.424193114405422</v>
      </c>
    </row>
    <row r="224" customFormat="false" ht="15" hidden="false" customHeight="false" outlineLevel="0" collapsed="false">
      <c r="A224" s="8" t="s">
        <v>395</v>
      </c>
      <c r="B224" s="14" t="s">
        <v>396</v>
      </c>
      <c r="C224" s="8" t="str">
        <f aca="false">TEXT(B224,"mmm-yyyy")</f>
        <v>Dec-2025</v>
      </c>
      <c r="D224" s="8" t="s">
        <v>55</v>
      </c>
      <c r="E224" s="8" t="s">
        <v>114</v>
      </c>
      <c r="F224" s="8" t="s">
        <v>73</v>
      </c>
      <c r="G224" s="8" t="s">
        <v>47</v>
      </c>
      <c r="H224" s="8" t="n">
        <v>225</v>
      </c>
      <c r="I224" s="9" t="n">
        <v>14.22</v>
      </c>
      <c r="J224" s="9" t="n">
        <v>29.32</v>
      </c>
      <c r="K224" s="15" t="n">
        <v>0.05</v>
      </c>
      <c r="L224" s="9" t="n">
        <f aca="false">H224*J224</f>
        <v>6597</v>
      </c>
      <c r="M224" s="9" t="n">
        <f aca="false">L224*K224</f>
        <v>329.85</v>
      </c>
      <c r="N224" s="9" t="n">
        <f aca="false">L224-M224</f>
        <v>6267.15</v>
      </c>
      <c r="O224" s="9" t="n">
        <f aca="false">H224*I224</f>
        <v>3199.5</v>
      </c>
      <c r="P224" s="9" t="n">
        <f aca="false">N224-O224</f>
        <v>3067.65</v>
      </c>
      <c r="Q224" s="15" t="n">
        <f aca="false">IFERROR(P224/N224,0)</f>
        <v>0.489480864507791</v>
      </c>
    </row>
    <row r="225" customFormat="false" ht="15" hidden="false" customHeight="false" outlineLevel="0" collapsed="false">
      <c r="A225" s="11" t="s">
        <v>167</v>
      </c>
      <c r="B225" s="16" t="s">
        <v>168</v>
      </c>
      <c r="C225" s="11" t="str">
        <f aca="false">TEXT(B225,"mmm-yyyy")</f>
        <v>Dec-2025</v>
      </c>
      <c r="D225" s="11" t="s">
        <v>40</v>
      </c>
      <c r="E225" s="11" t="s">
        <v>51</v>
      </c>
      <c r="F225" s="11" t="s">
        <v>52</v>
      </c>
      <c r="G225" s="11" t="s">
        <v>47</v>
      </c>
      <c r="H225" s="11" t="n">
        <v>219</v>
      </c>
      <c r="I225" s="12" t="n">
        <v>70.88</v>
      </c>
      <c r="J225" s="12" t="n">
        <v>120.88</v>
      </c>
      <c r="K225" s="17" t="n">
        <v>0.1</v>
      </c>
      <c r="L225" s="12" t="n">
        <f aca="false">H225*J225</f>
        <v>26472.72</v>
      </c>
      <c r="M225" s="12" t="n">
        <f aca="false">L225*K225</f>
        <v>2647.272</v>
      </c>
      <c r="N225" s="12" t="n">
        <f aca="false">L225-M225</f>
        <v>23825.448</v>
      </c>
      <c r="O225" s="12" t="n">
        <f aca="false">H225*I225</f>
        <v>15522.72</v>
      </c>
      <c r="P225" s="12" t="n">
        <f aca="false">N225-O225</f>
        <v>8302.728</v>
      </c>
      <c r="Q225" s="17" t="n">
        <f aca="false">IFERROR(P225/N225,0)</f>
        <v>0.348481505993088</v>
      </c>
    </row>
    <row r="226" customFormat="false" ht="15" hidden="false" customHeight="false" outlineLevel="0" collapsed="false">
      <c r="A226" s="8" t="s">
        <v>76</v>
      </c>
      <c r="B226" s="14" t="s">
        <v>77</v>
      </c>
      <c r="C226" s="8" t="str">
        <f aca="false">TEXT(B226,"mmm-yyyy")</f>
        <v>Dec-2025</v>
      </c>
      <c r="D226" s="8" t="s">
        <v>46</v>
      </c>
      <c r="E226" s="8" t="s">
        <v>56</v>
      </c>
      <c r="F226" s="8" t="s">
        <v>52</v>
      </c>
      <c r="G226" s="8" t="s">
        <v>69</v>
      </c>
      <c r="H226" s="8" t="n">
        <v>215</v>
      </c>
      <c r="I226" s="9" t="n">
        <v>50.2</v>
      </c>
      <c r="J226" s="9" t="n">
        <v>87.35</v>
      </c>
      <c r="K226" s="15" t="n">
        <v>0</v>
      </c>
      <c r="L226" s="9" t="n">
        <f aca="false">H226*J226</f>
        <v>18780.25</v>
      </c>
      <c r="M226" s="9" t="n">
        <f aca="false">L226*K226</f>
        <v>0</v>
      </c>
      <c r="N226" s="9" t="n">
        <f aca="false">L226-M226</f>
        <v>18780.25</v>
      </c>
      <c r="O226" s="9" t="n">
        <f aca="false">H226*I226</f>
        <v>10793</v>
      </c>
      <c r="P226" s="9" t="n">
        <f aca="false">N226-O226</f>
        <v>7987.25</v>
      </c>
      <c r="Q226" s="15" t="n">
        <f aca="false">IFERROR(P226/N226,0)</f>
        <v>0.425300515168861</v>
      </c>
    </row>
    <row r="227" customFormat="false" ht="15" hidden="false" customHeight="false" outlineLevel="0" collapsed="false">
      <c r="A227" s="11" t="s">
        <v>212</v>
      </c>
      <c r="B227" s="16" t="s">
        <v>213</v>
      </c>
      <c r="C227" s="11" t="str">
        <f aca="false">TEXT(B227,"mmm-yyyy")</f>
        <v>Dec-2025</v>
      </c>
      <c r="D227" s="11" t="s">
        <v>46</v>
      </c>
      <c r="E227" s="11" t="s">
        <v>51</v>
      </c>
      <c r="F227" s="11" t="s">
        <v>52</v>
      </c>
      <c r="G227" s="11" t="s">
        <v>47</v>
      </c>
      <c r="H227" s="11" t="n">
        <v>317</v>
      </c>
      <c r="I227" s="12" t="n">
        <v>69.48</v>
      </c>
      <c r="J227" s="12" t="n">
        <v>120.37</v>
      </c>
      <c r="K227" s="17" t="n">
        <v>0.1</v>
      </c>
      <c r="L227" s="12" t="n">
        <f aca="false">H227*J227</f>
        <v>38157.29</v>
      </c>
      <c r="M227" s="12" t="n">
        <f aca="false">L227*K227</f>
        <v>3815.729</v>
      </c>
      <c r="N227" s="12" t="n">
        <f aca="false">L227-M227</f>
        <v>34341.561</v>
      </c>
      <c r="O227" s="12" t="n">
        <f aca="false">H227*I227</f>
        <v>22025.16</v>
      </c>
      <c r="P227" s="12" t="n">
        <f aca="false">N227-O227</f>
        <v>12316.401</v>
      </c>
      <c r="Q227" s="17" t="n">
        <f aca="false">IFERROR(P227/N227,0)</f>
        <v>0.358644180443632</v>
      </c>
    </row>
    <row r="228" customFormat="false" ht="15" hidden="false" customHeight="false" outlineLevel="0" collapsed="false">
      <c r="A228" s="8" t="s">
        <v>331</v>
      </c>
      <c r="B228" s="14" t="s">
        <v>213</v>
      </c>
      <c r="C228" s="8" t="str">
        <f aca="false">TEXT(B228,"mmm-yyyy")</f>
        <v>Dec-2025</v>
      </c>
      <c r="D228" s="8" t="s">
        <v>55</v>
      </c>
      <c r="E228" s="8" t="s">
        <v>41</v>
      </c>
      <c r="F228" s="8" t="s">
        <v>42</v>
      </c>
      <c r="G228" s="8" t="s">
        <v>69</v>
      </c>
      <c r="H228" s="8" t="n">
        <v>352</v>
      </c>
      <c r="I228" s="9" t="n">
        <v>21.37</v>
      </c>
      <c r="J228" s="9" t="n">
        <v>45.64</v>
      </c>
      <c r="K228" s="15" t="n">
        <v>0.05</v>
      </c>
      <c r="L228" s="9" t="n">
        <f aca="false">H228*J228</f>
        <v>16065.28</v>
      </c>
      <c r="M228" s="9" t="n">
        <f aca="false">L228*K228</f>
        <v>803.264</v>
      </c>
      <c r="N228" s="9" t="n">
        <f aca="false">L228-M228</f>
        <v>15262.016</v>
      </c>
      <c r="O228" s="9" t="n">
        <f aca="false">H228*I228</f>
        <v>7522.24</v>
      </c>
      <c r="P228" s="9" t="n">
        <f aca="false">N228-O228</f>
        <v>7739.776</v>
      </c>
      <c r="Q228" s="15" t="n">
        <f aca="false">IFERROR(P228/N228,0)</f>
        <v>0.507126712486738</v>
      </c>
    </row>
    <row r="229" customFormat="false" ht="15" hidden="false" customHeight="false" outlineLevel="0" collapsed="false">
      <c r="A229" s="11" t="s">
        <v>336</v>
      </c>
      <c r="B229" s="16" t="s">
        <v>337</v>
      </c>
      <c r="C229" s="11" t="str">
        <f aca="false">TEXT(B229,"mmm-yyyy")</f>
        <v>Dec-2025</v>
      </c>
      <c r="D229" s="11" t="s">
        <v>61</v>
      </c>
      <c r="E229" s="11" t="s">
        <v>41</v>
      </c>
      <c r="F229" s="11" t="s">
        <v>42</v>
      </c>
      <c r="G229" s="11" t="s">
        <v>43</v>
      </c>
      <c r="H229" s="11" t="n">
        <v>307</v>
      </c>
      <c r="I229" s="12" t="n">
        <v>21.51</v>
      </c>
      <c r="J229" s="12" t="n">
        <v>44.69</v>
      </c>
      <c r="K229" s="17" t="n">
        <v>0.15</v>
      </c>
      <c r="L229" s="12" t="n">
        <f aca="false">H229*J229</f>
        <v>13719.83</v>
      </c>
      <c r="M229" s="12" t="n">
        <f aca="false">L229*K229</f>
        <v>2057.9745</v>
      </c>
      <c r="N229" s="12" t="n">
        <f aca="false">L229-M229</f>
        <v>11661.8555</v>
      </c>
      <c r="O229" s="12" t="n">
        <f aca="false">H229*I229</f>
        <v>6603.57</v>
      </c>
      <c r="P229" s="12" t="n">
        <f aca="false">N229-O229</f>
        <v>5058.2855</v>
      </c>
      <c r="Q229" s="17" t="n">
        <f aca="false">IFERROR(P229/N229,0)</f>
        <v>0.433746199307649</v>
      </c>
    </row>
    <row r="230" customFormat="false" ht="15" hidden="false" customHeight="false" outlineLevel="0" collapsed="false">
      <c r="A230" s="8" t="s">
        <v>421</v>
      </c>
      <c r="B230" s="14" t="s">
        <v>422</v>
      </c>
      <c r="C230" s="8" t="str">
        <f aca="false">TEXT(B230,"mmm-yyyy")</f>
        <v>Dec-2025</v>
      </c>
      <c r="D230" s="8" t="s">
        <v>61</v>
      </c>
      <c r="E230" s="8" t="s">
        <v>51</v>
      </c>
      <c r="F230" s="8" t="s">
        <v>52</v>
      </c>
      <c r="G230" s="8" t="s">
        <v>69</v>
      </c>
      <c r="H230" s="8" t="n">
        <v>249</v>
      </c>
      <c r="I230" s="9" t="n">
        <v>70.42</v>
      </c>
      <c r="J230" s="9" t="n">
        <v>118.74</v>
      </c>
      <c r="K230" s="15" t="n">
        <v>0</v>
      </c>
      <c r="L230" s="9" t="n">
        <f aca="false">H230*J230</f>
        <v>29566.26</v>
      </c>
      <c r="M230" s="9" t="n">
        <f aca="false">L230*K230</f>
        <v>0</v>
      </c>
      <c r="N230" s="9" t="n">
        <f aca="false">L230-M230</f>
        <v>29566.26</v>
      </c>
      <c r="O230" s="9" t="n">
        <f aca="false">H230*I230</f>
        <v>17534.58</v>
      </c>
      <c r="P230" s="9" t="n">
        <f aca="false">N230-O230</f>
        <v>12031.68</v>
      </c>
      <c r="Q230" s="15" t="n">
        <f aca="false">IFERROR(P230/N230,0)</f>
        <v>0.406939531750042</v>
      </c>
    </row>
    <row r="231" customFormat="false" ht="15" hidden="false" customHeight="false" outlineLevel="0" collapsed="false">
      <c r="A231" s="11" t="s">
        <v>362</v>
      </c>
      <c r="B231" s="16" t="s">
        <v>363</v>
      </c>
      <c r="C231" s="11" t="str">
        <f aca="false">TEXT(B231,"mmm-yyyy")</f>
        <v>Dec-2025</v>
      </c>
      <c r="D231" s="11" t="s">
        <v>61</v>
      </c>
      <c r="E231" s="11" t="s">
        <v>56</v>
      </c>
      <c r="F231" s="11" t="s">
        <v>52</v>
      </c>
      <c r="G231" s="11" t="s">
        <v>47</v>
      </c>
      <c r="H231" s="11" t="n">
        <v>243</v>
      </c>
      <c r="I231" s="12" t="n">
        <v>50.8</v>
      </c>
      <c r="J231" s="12" t="n">
        <v>88.79</v>
      </c>
      <c r="K231" s="17" t="n">
        <v>0.05</v>
      </c>
      <c r="L231" s="12" t="n">
        <f aca="false">H231*J231</f>
        <v>21575.97</v>
      </c>
      <c r="M231" s="12" t="n">
        <f aca="false">L231*K231</f>
        <v>1078.7985</v>
      </c>
      <c r="N231" s="12" t="n">
        <f aca="false">L231-M231</f>
        <v>20497.1715</v>
      </c>
      <c r="O231" s="12" t="n">
        <f aca="false">H231*I231</f>
        <v>12344.4</v>
      </c>
      <c r="P231" s="12" t="n">
        <f aca="false">N231-O231</f>
        <v>8152.7715</v>
      </c>
      <c r="Q231" s="17" t="n">
        <f aca="false">IFERROR(P231/N231,0)</f>
        <v>0.397751050675455</v>
      </c>
    </row>
    <row r="232" customFormat="false" ht="15" hidden="false" customHeight="false" outlineLevel="0" collapsed="false">
      <c r="A232" s="8" t="s">
        <v>156</v>
      </c>
      <c r="B232" s="14" t="s">
        <v>157</v>
      </c>
      <c r="C232" s="8" t="str">
        <f aca="false">TEXT(B232,"mmm-yyyy")</f>
        <v>Dec-2025</v>
      </c>
      <c r="D232" s="8" t="s">
        <v>46</v>
      </c>
      <c r="E232" s="8" t="s">
        <v>114</v>
      </c>
      <c r="F232" s="8" t="s">
        <v>73</v>
      </c>
      <c r="G232" s="8" t="s">
        <v>69</v>
      </c>
      <c r="H232" s="8" t="n">
        <v>246</v>
      </c>
      <c r="I232" s="9" t="n">
        <v>13.81</v>
      </c>
      <c r="J232" s="9" t="n">
        <v>29.83</v>
      </c>
      <c r="K232" s="15" t="n">
        <v>0.15</v>
      </c>
      <c r="L232" s="9" t="n">
        <f aca="false">H232*J232</f>
        <v>7338.18</v>
      </c>
      <c r="M232" s="9" t="n">
        <f aca="false">L232*K232</f>
        <v>1100.727</v>
      </c>
      <c r="N232" s="9" t="n">
        <f aca="false">L232-M232</f>
        <v>6237.453</v>
      </c>
      <c r="O232" s="9" t="n">
        <f aca="false">H232*I232</f>
        <v>3397.26</v>
      </c>
      <c r="P232" s="9" t="n">
        <f aca="false">N232-O232</f>
        <v>2840.193</v>
      </c>
      <c r="Q232" s="15" t="n">
        <f aca="false">IFERROR(P232/N232,0)</f>
        <v>0.455344994182722</v>
      </c>
    </row>
    <row r="233" customFormat="false" ht="15" hidden="false" customHeight="false" outlineLevel="0" collapsed="false">
      <c r="A233" s="11" t="s">
        <v>449</v>
      </c>
      <c r="B233" s="16" t="s">
        <v>157</v>
      </c>
      <c r="C233" s="11" t="str">
        <f aca="false">TEXT(B233,"mmm-yyyy")</f>
        <v>Dec-2025</v>
      </c>
      <c r="D233" s="11" t="s">
        <v>40</v>
      </c>
      <c r="E233" s="11" t="s">
        <v>56</v>
      </c>
      <c r="F233" s="11" t="s">
        <v>52</v>
      </c>
      <c r="G233" s="11" t="s">
        <v>43</v>
      </c>
      <c r="H233" s="11" t="n">
        <v>120</v>
      </c>
      <c r="I233" s="12" t="n">
        <v>51.34</v>
      </c>
      <c r="J233" s="12" t="n">
        <v>82.21</v>
      </c>
      <c r="K233" s="17" t="n">
        <v>0.1</v>
      </c>
      <c r="L233" s="12" t="n">
        <f aca="false">H233*J233</f>
        <v>9865.2</v>
      </c>
      <c r="M233" s="12" t="n">
        <f aca="false">L233*K233</f>
        <v>986.52</v>
      </c>
      <c r="N233" s="12" t="n">
        <f aca="false">L233-M233</f>
        <v>8878.68</v>
      </c>
      <c r="O233" s="12" t="n">
        <f aca="false">H233*I233</f>
        <v>6160.8</v>
      </c>
      <c r="P233" s="12" t="n">
        <f aca="false">N233-O233</f>
        <v>2717.88</v>
      </c>
      <c r="Q233" s="17" t="n">
        <f aca="false">IFERROR(P233/N233,0)</f>
        <v>0.306113070861885</v>
      </c>
    </row>
    <row r="234" customFormat="false" ht="15" hidden="false" customHeight="false" outlineLevel="0" collapsed="false">
      <c r="A234" s="8" t="s">
        <v>115</v>
      </c>
      <c r="B234" s="14" t="s">
        <v>116</v>
      </c>
      <c r="C234" s="8" t="str">
        <f aca="false">TEXT(B234,"mmm-yyyy")</f>
        <v>Dec-2025</v>
      </c>
      <c r="D234" s="8" t="s">
        <v>61</v>
      </c>
      <c r="E234" s="8" t="s">
        <v>114</v>
      </c>
      <c r="F234" s="8" t="s">
        <v>73</v>
      </c>
      <c r="G234" s="8" t="s">
        <v>69</v>
      </c>
      <c r="H234" s="8" t="n">
        <v>304</v>
      </c>
      <c r="I234" s="9" t="n">
        <v>14.28</v>
      </c>
      <c r="J234" s="9" t="n">
        <v>30</v>
      </c>
      <c r="K234" s="15" t="n">
        <v>0.05</v>
      </c>
      <c r="L234" s="9" t="n">
        <f aca="false">H234*J234</f>
        <v>9120</v>
      </c>
      <c r="M234" s="9" t="n">
        <f aca="false">L234*K234</f>
        <v>456</v>
      </c>
      <c r="N234" s="9" t="n">
        <f aca="false">L234-M234</f>
        <v>8664</v>
      </c>
      <c r="O234" s="9" t="n">
        <f aca="false">H234*I234</f>
        <v>4341.12</v>
      </c>
      <c r="P234" s="9" t="n">
        <f aca="false">N234-O234</f>
        <v>4322.88</v>
      </c>
      <c r="Q234" s="15" t="n">
        <f aca="false">IFERROR(P234/N234,0)</f>
        <v>0.498947368421053</v>
      </c>
    </row>
    <row r="235" customFormat="false" ht="15" hidden="false" customHeight="false" outlineLevel="0" collapsed="false">
      <c r="A235" s="11" t="s">
        <v>433</v>
      </c>
      <c r="B235" s="16" t="s">
        <v>434</v>
      </c>
      <c r="C235" s="11" t="str">
        <f aca="false">TEXT(B235,"mmm-yyyy")</f>
        <v>Dec-2025</v>
      </c>
      <c r="D235" s="11" t="s">
        <v>61</v>
      </c>
      <c r="E235" s="11" t="s">
        <v>72</v>
      </c>
      <c r="F235" s="11" t="s">
        <v>73</v>
      </c>
      <c r="G235" s="11" t="s">
        <v>43</v>
      </c>
      <c r="H235" s="11" t="n">
        <v>269</v>
      </c>
      <c r="I235" s="12" t="n">
        <v>28.71</v>
      </c>
      <c r="J235" s="12" t="n">
        <v>57.11</v>
      </c>
      <c r="K235" s="17" t="n">
        <v>0.05</v>
      </c>
      <c r="L235" s="12" t="n">
        <f aca="false">H235*J235</f>
        <v>15362.59</v>
      </c>
      <c r="M235" s="12" t="n">
        <f aca="false">L235*K235</f>
        <v>768.1295</v>
      </c>
      <c r="N235" s="12" t="n">
        <f aca="false">L235-M235</f>
        <v>14594.4605</v>
      </c>
      <c r="O235" s="12" t="n">
        <f aca="false">H235*I235</f>
        <v>7722.99</v>
      </c>
      <c r="P235" s="12" t="n">
        <f aca="false">N235-O235</f>
        <v>6871.4705</v>
      </c>
      <c r="Q235" s="17" t="n">
        <f aca="false">IFERROR(P235/N235,0)</f>
        <v>0.470827304647541</v>
      </c>
    </row>
    <row r="236" customFormat="false" ht="15" hidden="false" customHeight="false" outlineLevel="0" collapsed="false">
      <c r="A236" s="8" t="s">
        <v>281</v>
      </c>
      <c r="B236" s="14" t="s">
        <v>282</v>
      </c>
      <c r="C236" s="8" t="str">
        <f aca="false">TEXT(B236,"mmm-yyyy")</f>
        <v>Dec-2025</v>
      </c>
      <c r="D236" s="8" t="s">
        <v>46</v>
      </c>
      <c r="E236" s="8" t="s">
        <v>41</v>
      </c>
      <c r="F236" s="8" t="s">
        <v>42</v>
      </c>
      <c r="G236" s="8" t="s">
        <v>47</v>
      </c>
      <c r="H236" s="8" t="n">
        <v>359</v>
      </c>
      <c r="I236" s="9" t="n">
        <v>22.16</v>
      </c>
      <c r="J236" s="9" t="n">
        <v>43.46</v>
      </c>
      <c r="K236" s="15" t="n">
        <v>0</v>
      </c>
      <c r="L236" s="9" t="n">
        <f aca="false">H236*J236</f>
        <v>15602.14</v>
      </c>
      <c r="M236" s="9" t="n">
        <f aca="false">L236*K236</f>
        <v>0</v>
      </c>
      <c r="N236" s="9" t="n">
        <f aca="false">L236-M236</f>
        <v>15602.14</v>
      </c>
      <c r="O236" s="9" t="n">
        <f aca="false">H236*I236</f>
        <v>7955.44</v>
      </c>
      <c r="P236" s="9" t="n">
        <f aca="false">N236-O236</f>
        <v>7646.7</v>
      </c>
      <c r="Q236" s="15" t="n">
        <f aca="false">IFERROR(P236/N236,0)</f>
        <v>0.490105844454671</v>
      </c>
    </row>
    <row r="237" customFormat="false" ht="15" hidden="false" customHeight="false" outlineLevel="0" collapsed="false">
      <c r="A237" s="11" t="s">
        <v>163</v>
      </c>
      <c r="B237" s="16" t="s">
        <v>164</v>
      </c>
      <c r="C237" s="11" t="str">
        <f aca="false">TEXT(B237,"mmm-yyyy")</f>
        <v>Dec-2025</v>
      </c>
      <c r="D237" s="11" t="s">
        <v>46</v>
      </c>
      <c r="E237" s="11" t="s">
        <v>72</v>
      </c>
      <c r="F237" s="11" t="s">
        <v>73</v>
      </c>
      <c r="G237" s="11" t="s">
        <v>47</v>
      </c>
      <c r="H237" s="11" t="n">
        <v>223</v>
      </c>
      <c r="I237" s="12" t="n">
        <v>27.64</v>
      </c>
      <c r="J237" s="12" t="n">
        <v>59.58</v>
      </c>
      <c r="K237" s="17" t="n">
        <v>0.15</v>
      </c>
      <c r="L237" s="12" t="n">
        <f aca="false">H237*J237</f>
        <v>13286.34</v>
      </c>
      <c r="M237" s="12" t="n">
        <f aca="false">L237*K237</f>
        <v>1992.951</v>
      </c>
      <c r="N237" s="12" t="n">
        <f aca="false">L237-M237</f>
        <v>11293.389</v>
      </c>
      <c r="O237" s="12" t="n">
        <f aca="false">H237*I237</f>
        <v>6163.72</v>
      </c>
      <c r="P237" s="12" t="n">
        <f aca="false">N237-O237</f>
        <v>5129.669</v>
      </c>
      <c r="Q237" s="17" t="n">
        <f aca="false">IFERROR(P237/N237,0)</f>
        <v>0.454218746914677</v>
      </c>
    </row>
    <row r="238" customFormat="false" ht="15" hidden="false" customHeight="false" outlineLevel="0" collapsed="false">
      <c r="A238" s="8" t="s">
        <v>346</v>
      </c>
      <c r="B238" s="14" t="s">
        <v>164</v>
      </c>
      <c r="C238" s="8" t="str">
        <f aca="false">TEXT(B238,"mmm-yyyy")</f>
        <v>Dec-2025</v>
      </c>
      <c r="D238" s="8" t="s">
        <v>40</v>
      </c>
      <c r="E238" s="8" t="s">
        <v>72</v>
      </c>
      <c r="F238" s="8" t="s">
        <v>73</v>
      </c>
      <c r="G238" s="8" t="s">
        <v>43</v>
      </c>
      <c r="H238" s="8" t="n">
        <v>243</v>
      </c>
      <c r="I238" s="9" t="n">
        <v>28.02</v>
      </c>
      <c r="J238" s="9" t="n">
        <v>58.01</v>
      </c>
      <c r="K238" s="15" t="n">
        <v>0</v>
      </c>
      <c r="L238" s="9" t="n">
        <f aca="false">H238*J238</f>
        <v>14096.43</v>
      </c>
      <c r="M238" s="9" t="n">
        <f aca="false">L238*K238</f>
        <v>0</v>
      </c>
      <c r="N238" s="9" t="n">
        <f aca="false">L238-M238</f>
        <v>14096.43</v>
      </c>
      <c r="O238" s="9" t="n">
        <f aca="false">H238*I238</f>
        <v>6808.86</v>
      </c>
      <c r="P238" s="9" t="n">
        <f aca="false">N238-O238</f>
        <v>7287.57</v>
      </c>
      <c r="Q238" s="15" t="n">
        <f aca="false">IFERROR(P238/N238,0)</f>
        <v>0.51697983106361</v>
      </c>
    </row>
    <row r="239" customFormat="false" ht="15" hidden="false" customHeight="false" outlineLevel="0" collapsed="false">
      <c r="A239" s="11" t="s">
        <v>246</v>
      </c>
      <c r="B239" s="16" t="s">
        <v>247</v>
      </c>
      <c r="C239" s="11" t="str">
        <f aca="false">TEXT(B239,"mmm-yyyy")</f>
        <v>Dec-2025</v>
      </c>
      <c r="D239" s="11" t="s">
        <v>40</v>
      </c>
      <c r="E239" s="11" t="s">
        <v>41</v>
      </c>
      <c r="F239" s="11" t="s">
        <v>42</v>
      </c>
      <c r="G239" s="11" t="s">
        <v>47</v>
      </c>
      <c r="H239" s="11" t="n">
        <v>306</v>
      </c>
      <c r="I239" s="12" t="n">
        <v>22.45</v>
      </c>
      <c r="J239" s="12" t="n">
        <v>43.15</v>
      </c>
      <c r="K239" s="17" t="n">
        <v>0</v>
      </c>
      <c r="L239" s="12" t="n">
        <f aca="false">H239*J239</f>
        <v>13203.9</v>
      </c>
      <c r="M239" s="12" t="n">
        <f aca="false">L239*K239</f>
        <v>0</v>
      </c>
      <c r="N239" s="12" t="n">
        <f aca="false">L239-M239</f>
        <v>13203.9</v>
      </c>
      <c r="O239" s="12" t="n">
        <f aca="false">H239*I239</f>
        <v>6869.7</v>
      </c>
      <c r="P239" s="12" t="n">
        <f aca="false">N239-O239</f>
        <v>6334.2</v>
      </c>
      <c r="Q239" s="17" t="n">
        <f aca="false">IFERROR(P239/N239,0)</f>
        <v>0.479721900347625</v>
      </c>
    </row>
    <row r="240" customFormat="false" ht="15" hidden="false" customHeight="false" outlineLevel="0" collapsed="false">
      <c r="A240" s="8" t="s">
        <v>293</v>
      </c>
      <c r="B240" s="14" t="s">
        <v>294</v>
      </c>
      <c r="C240" s="8" t="str">
        <f aca="false">TEXT(B240,"mmm-yyyy")</f>
        <v>Dec-2025</v>
      </c>
      <c r="D240" s="8" t="s">
        <v>55</v>
      </c>
      <c r="E240" s="8" t="s">
        <v>72</v>
      </c>
      <c r="F240" s="8" t="s">
        <v>73</v>
      </c>
      <c r="G240" s="8" t="s">
        <v>69</v>
      </c>
      <c r="H240" s="8" t="n">
        <v>328</v>
      </c>
      <c r="I240" s="9" t="n">
        <v>27.28</v>
      </c>
      <c r="J240" s="9" t="n">
        <v>60.94</v>
      </c>
      <c r="K240" s="15" t="n">
        <v>0</v>
      </c>
      <c r="L240" s="9" t="n">
        <f aca="false">H240*J240</f>
        <v>19988.32</v>
      </c>
      <c r="M240" s="9" t="n">
        <f aca="false">L240*K240</f>
        <v>0</v>
      </c>
      <c r="N240" s="9" t="n">
        <f aca="false">L240-M240</f>
        <v>19988.32</v>
      </c>
      <c r="O240" s="9" t="n">
        <f aca="false">H240*I240</f>
        <v>8947.84</v>
      </c>
      <c r="P240" s="9" t="n">
        <f aca="false">N240-O240</f>
        <v>11040.48</v>
      </c>
      <c r="Q240" s="15" t="n">
        <f aca="false">IFERROR(P240/N240,0)</f>
        <v>0.552346570397112</v>
      </c>
    </row>
    <row r="241" customFormat="false" ht="15" hidden="false" customHeight="false" outlineLevel="0" collapsed="false">
      <c r="A241" s="11" t="s">
        <v>317</v>
      </c>
      <c r="B241" s="16" t="s">
        <v>125</v>
      </c>
      <c r="C241" s="11" t="str">
        <f aca="false">TEXT(B241,"mmm-yyyy")</f>
        <v>Dec-2025</v>
      </c>
      <c r="D241" s="11" t="s">
        <v>55</v>
      </c>
      <c r="E241" s="11" t="s">
        <v>51</v>
      </c>
      <c r="F241" s="11" t="s">
        <v>52</v>
      </c>
      <c r="G241" s="11" t="s">
        <v>69</v>
      </c>
      <c r="H241" s="11" t="n">
        <v>285</v>
      </c>
      <c r="I241" s="12" t="n">
        <v>71.45</v>
      </c>
      <c r="J241" s="12" t="n">
        <v>115.3</v>
      </c>
      <c r="K241" s="17" t="n">
        <v>0.05</v>
      </c>
      <c r="L241" s="12" t="n">
        <f aca="false">H241*J241</f>
        <v>32860.5</v>
      </c>
      <c r="M241" s="12" t="n">
        <f aca="false">L241*K241</f>
        <v>1643.025</v>
      </c>
      <c r="N241" s="12" t="n">
        <f aca="false">L241-M241</f>
        <v>31217.475</v>
      </c>
      <c r="O241" s="12" t="n">
        <f aca="false">H241*I241</f>
        <v>20363.25</v>
      </c>
      <c r="P241" s="12" t="n">
        <f aca="false">N241-O241</f>
        <v>10854.225</v>
      </c>
      <c r="Q241" s="17" t="n">
        <f aca="false">IFERROR(P241/N241,0)</f>
        <v>0.347697083124116</v>
      </c>
    </row>
    <row r="242" customFormat="false" ht="15" hidden="false" customHeight="false" outlineLevel="0" collapsed="false">
      <c r="A242" s="8" t="s">
        <v>440</v>
      </c>
      <c r="B242" s="14" t="s">
        <v>125</v>
      </c>
      <c r="C242" s="8" t="str">
        <f aca="false">TEXT(B242,"mmm-yyyy")</f>
        <v>Dec-2025</v>
      </c>
      <c r="D242" s="8" t="s">
        <v>55</v>
      </c>
      <c r="E242" s="8" t="s">
        <v>56</v>
      </c>
      <c r="F242" s="8" t="s">
        <v>52</v>
      </c>
      <c r="G242" s="8" t="s">
        <v>43</v>
      </c>
      <c r="H242" s="8" t="n">
        <v>271</v>
      </c>
      <c r="I242" s="9" t="n">
        <v>49.18</v>
      </c>
      <c r="J242" s="9" t="n">
        <v>83.12</v>
      </c>
      <c r="K242" s="15" t="n">
        <v>0.1</v>
      </c>
      <c r="L242" s="9" t="n">
        <f aca="false">H242*J242</f>
        <v>22525.52</v>
      </c>
      <c r="M242" s="9" t="n">
        <f aca="false">L242*K242</f>
        <v>2252.552</v>
      </c>
      <c r="N242" s="9" t="n">
        <f aca="false">L242-M242</f>
        <v>20272.968</v>
      </c>
      <c r="O242" s="9" t="n">
        <f aca="false">H242*I242</f>
        <v>13327.78</v>
      </c>
      <c r="P242" s="9" t="n">
        <f aca="false">N242-O242</f>
        <v>6945.188</v>
      </c>
      <c r="Q242" s="15" t="n">
        <f aca="false">IFERROR(P242/N242,0)</f>
        <v>0.342583680889744</v>
      </c>
    </row>
    <row r="243" customFormat="false" ht="15" hidden="false" customHeight="false" outlineLevel="0" collapsed="false">
      <c r="A243" s="11" t="s">
        <v>124</v>
      </c>
      <c r="B243" s="16" t="s">
        <v>125</v>
      </c>
      <c r="C243" s="11" t="str">
        <f aca="false">TEXT(B243,"mmm-yyyy")</f>
        <v>Dec-2025</v>
      </c>
      <c r="D243" s="11" t="s">
        <v>40</v>
      </c>
      <c r="E243" s="11" t="s">
        <v>114</v>
      </c>
      <c r="F243" s="11" t="s">
        <v>73</v>
      </c>
      <c r="G243" s="11" t="s">
        <v>47</v>
      </c>
      <c r="H243" s="11" t="n">
        <v>214</v>
      </c>
      <c r="I243" s="12" t="n">
        <v>14.21</v>
      </c>
      <c r="J243" s="12" t="n">
        <v>31.11</v>
      </c>
      <c r="K243" s="17" t="n">
        <v>0</v>
      </c>
      <c r="L243" s="12" t="n">
        <f aca="false">H243*J243</f>
        <v>6657.54</v>
      </c>
      <c r="M243" s="12" t="n">
        <f aca="false">L243*K243</f>
        <v>0</v>
      </c>
      <c r="N243" s="12" t="n">
        <f aca="false">L243-M243</f>
        <v>6657.54</v>
      </c>
      <c r="O243" s="12" t="n">
        <f aca="false">H243*I243</f>
        <v>3040.94</v>
      </c>
      <c r="P243" s="12" t="n">
        <f aca="false">N243-O243</f>
        <v>3616.6</v>
      </c>
      <c r="Q243" s="17" t="n">
        <f aca="false">IFERROR(P243/N243,0)</f>
        <v>0.54323368691739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18E"/>
    <pageSetUpPr fitToPage="false"/>
  </sheetPr>
  <dimension ref="A1:M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5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13" min="7" style="0" width="15"/>
  </cols>
  <sheetData>
    <row r="1" customFormat="false" ht="15" hidden="false" customHeight="false" outlineLevel="0" collapsed="false">
      <c r="A1" s="6" t="s">
        <v>485</v>
      </c>
      <c r="B1" s="6"/>
      <c r="C1" s="6"/>
      <c r="D1" s="6"/>
      <c r="E1" s="6"/>
      <c r="F1" s="6"/>
    </row>
    <row r="3" customFormat="false" ht="15" hidden="false" customHeight="false" outlineLevel="0" collapsed="false">
      <c r="A3" s="5" t="s">
        <v>486</v>
      </c>
      <c r="H3" s="18" t="s">
        <v>487</v>
      </c>
      <c r="I3" s="18"/>
      <c r="J3" s="18"/>
      <c r="K3" s="18"/>
      <c r="L3" s="18"/>
      <c r="M3" s="18"/>
    </row>
    <row r="4" customFormat="false" ht="23.85" hidden="false" customHeight="false" outlineLevel="0" collapsed="false">
      <c r="A4" s="7" t="s">
        <v>31</v>
      </c>
      <c r="B4" s="7" t="s">
        <v>32</v>
      </c>
      <c r="C4" s="7" t="s">
        <v>488</v>
      </c>
      <c r="D4" s="7"/>
      <c r="E4" s="7"/>
      <c r="F4" s="7"/>
      <c r="H4" s="7" t="s">
        <v>477</v>
      </c>
      <c r="I4" s="7" t="s">
        <v>30</v>
      </c>
      <c r="J4" s="7" t="s">
        <v>489</v>
      </c>
      <c r="K4" s="7" t="s">
        <v>490</v>
      </c>
      <c r="L4" s="7" t="s">
        <v>491</v>
      </c>
      <c r="M4" s="7" t="s">
        <v>492</v>
      </c>
    </row>
    <row r="5" customFormat="false" ht="15" hidden="false" customHeight="false" outlineLevel="0" collapsed="false">
      <c r="A5" s="11" t="s">
        <v>51</v>
      </c>
      <c r="B5" s="11" t="s">
        <v>52</v>
      </c>
      <c r="C5" s="19" t="n">
        <v>0.35</v>
      </c>
      <c r="H5" s="11" t="s">
        <v>493</v>
      </c>
      <c r="I5" s="11" t="s">
        <v>55</v>
      </c>
      <c r="J5" s="20" t="n">
        <v>66770</v>
      </c>
      <c r="K5" s="20" t="n">
        <v>45420</v>
      </c>
      <c r="L5" s="21" t="n">
        <f aca="false">SUMIFS(Cleaned_Data!$N$4:$N$243,Cleaned_Data!$C$4:$C$243,$H5,Cleaned_Data!$D$4:$D$243,$I5)</f>
        <v>67132.276</v>
      </c>
      <c r="M5" s="21" t="n">
        <f aca="false">SUMIFS(Cleaned_Data!$O$4:$O$243,Cleaned_Data!$C$4:$C$243,$H5,Cleaned_Data!$D$4:$D$243,$I5)+L5*0.18</f>
        <v>49876.60968</v>
      </c>
    </row>
    <row r="6" customFormat="false" ht="15" hidden="false" customHeight="false" outlineLevel="0" collapsed="false">
      <c r="A6" s="11" t="s">
        <v>56</v>
      </c>
      <c r="B6" s="11" t="s">
        <v>52</v>
      </c>
      <c r="C6" s="19" t="n">
        <v>0.35</v>
      </c>
      <c r="H6" s="11" t="s">
        <v>493</v>
      </c>
      <c r="I6" s="11" t="s">
        <v>46</v>
      </c>
      <c r="J6" s="20" t="n">
        <v>68640</v>
      </c>
      <c r="K6" s="20" t="n">
        <v>51650</v>
      </c>
      <c r="L6" s="21" t="n">
        <f aca="false">SUMIFS(Cleaned_Data!$N$4:$N$243,Cleaned_Data!$C$4:$C$243,$H6,Cleaned_Data!$D$4:$D$243,$I6)</f>
        <v>64780.9915</v>
      </c>
      <c r="M6" s="21" t="n">
        <f aca="false">SUMIFS(Cleaned_Data!$O$4:$O$243,Cleaned_Data!$C$4:$C$243,$H6,Cleaned_Data!$D$4:$D$243,$I6)+L6*0.18</f>
        <v>51185.92847</v>
      </c>
    </row>
    <row r="7" customFormat="false" ht="15" hidden="false" customHeight="false" outlineLevel="0" collapsed="false">
      <c r="A7" s="11" t="s">
        <v>41</v>
      </c>
      <c r="B7" s="11" t="s">
        <v>42</v>
      </c>
      <c r="C7" s="19" t="n">
        <v>0.4</v>
      </c>
      <c r="H7" s="11" t="s">
        <v>493</v>
      </c>
      <c r="I7" s="11" t="s">
        <v>61</v>
      </c>
      <c r="J7" s="20" t="n">
        <v>59100</v>
      </c>
      <c r="K7" s="20" t="n">
        <v>40620</v>
      </c>
      <c r="L7" s="21" t="n">
        <f aca="false">SUMIFS(Cleaned_Data!$N$4:$N$243,Cleaned_Data!$C$4:$C$243,$H7,Cleaned_Data!$D$4:$D$243,$I7)</f>
        <v>60983.834</v>
      </c>
      <c r="M7" s="21" t="n">
        <f aca="false">SUMIFS(Cleaned_Data!$O$4:$O$243,Cleaned_Data!$C$4:$C$243,$H7,Cleaned_Data!$D$4:$D$243,$I7)+L7*0.18</f>
        <v>44932.65012</v>
      </c>
    </row>
    <row r="8" customFormat="false" ht="15" hidden="false" customHeight="false" outlineLevel="0" collapsed="false">
      <c r="A8" s="11" t="s">
        <v>114</v>
      </c>
      <c r="B8" s="11" t="s">
        <v>73</v>
      </c>
      <c r="C8" s="19" t="n">
        <v>0.45</v>
      </c>
      <c r="H8" s="11" t="s">
        <v>493</v>
      </c>
      <c r="I8" s="11" t="s">
        <v>40</v>
      </c>
      <c r="J8" s="20" t="n">
        <v>54190</v>
      </c>
      <c r="K8" s="20" t="n">
        <v>38300</v>
      </c>
      <c r="L8" s="21" t="n">
        <f aca="false">SUMIFS(Cleaned_Data!$N$4:$N$243,Cleaned_Data!$C$4:$C$243,$H8,Cleaned_Data!$D$4:$D$243,$I8)</f>
        <v>52834.9325</v>
      </c>
      <c r="M8" s="21" t="n">
        <f aca="false">SUMIFS(Cleaned_Data!$O$4:$O$243,Cleaned_Data!$C$4:$C$243,$H8,Cleaned_Data!$D$4:$D$243,$I8)+L8*0.18</f>
        <v>38885.78785</v>
      </c>
    </row>
    <row r="9" customFormat="false" ht="15" hidden="false" customHeight="false" outlineLevel="0" collapsed="false">
      <c r="A9" s="11" t="s">
        <v>72</v>
      </c>
      <c r="B9" s="11" t="s">
        <v>73</v>
      </c>
      <c r="C9" s="19" t="n">
        <v>0.4</v>
      </c>
      <c r="H9" s="11" t="s">
        <v>494</v>
      </c>
      <c r="I9" s="11" t="s">
        <v>55</v>
      </c>
      <c r="J9" s="20" t="n">
        <v>86360</v>
      </c>
      <c r="K9" s="20" t="n">
        <v>65870</v>
      </c>
      <c r="L9" s="21" t="n">
        <f aca="false">SUMIFS(Cleaned_Data!$N$4:$N$243,Cleaned_Data!$C$4:$C$243,$H9,Cleaned_Data!$D$4:$D$243,$I9)</f>
        <v>85227.425</v>
      </c>
      <c r="M9" s="21" t="n">
        <f aca="false">SUMIFS(Cleaned_Data!$O$4:$O$243,Cleaned_Data!$C$4:$C$243,$H9,Cleaned_Data!$D$4:$D$243,$I9)+L9*0.18</f>
        <v>65662.1565</v>
      </c>
    </row>
    <row r="10" customFormat="false" ht="15" hidden="false" customHeight="false" outlineLevel="0" collapsed="false">
      <c r="H10" s="11" t="s">
        <v>494</v>
      </c>
      <c r="I10" s="11" t="s">
        <v>46</v>
      </c>
      <c r="J10" s="20" t="n">
        <v>63040</v>
      </c>
      <c r="K10" s="20" t="n">
        <v>48180</v>
      </c>
      <c r="L10" s="21" t="n">
        <f aca="false">SUMIFS(Cleaned_Data!$N$4:$N$243,Cleaned_Data!$C$4:$C$243,$H10,Cleaned_Data!$D$4:$D$243,$I10)</f>
        <v>66854.8335</v>
      </c>
      <c r="M10" s="21" t="n">
        <f aca="false">SUMIFS(Cleaned_Data!$O$4:$O$243,Cleaned_Data!$C$4:$C$243,$H10,Cleaned_Data!$D$4:$D$243,$I10)+L10*0.18</f>
        <v>49744.13003</v>
      </c>
    </row>
    <row r="11" customFormat="false" ht="15" hidden="false" customHeight="false" outlineLevel="0" collapsed="false">
      <c r="H11" s="11" t="s">
        <v>494</v>
      </c>
      <c r="I11" s="11" t="s">
        <v>61</v>
      </c>
      <c r="J11" s="20" t="n">
        <v>52830</v>
      </c>
      <c r="K11" s="20" t="n">
        <v>40700</v>
      </c>
      <c r="L11" s="21" t="n">
        <f aca="false">SUMIFS(Cleaned_Data!$N$4:$N$243,Cleaned_Data!$C$4:$C$243,$H11,Cleaned_Data!$D$4:$D$243,$I11)</f>
        <v>56524.2</v>
      </c>
      <c r="M11" s="21" t="n">
        <f aca="false">SUMIFS(Cleaned_Data!$O$4:$O$243,Cleaned_Data!$C$4:$C$243,$H11,Cleaned_Data!$D$4:$D$243,$I11)+L11*0.18</f>
        <v>44758.176</v>
      </c>
    </row>
    <row r="12" customFormat="false" ht="15" hidden="false" customHeight="false" outlineLevel="0" collapsed="false">
      <c r="A12" s="5" t="s">
        <v>495</v>
      </c>
      <c r="H12" s="11" t="s">
        <v>494</v>
      </c>
      <c r="I12" s="11" t="s">
        <v>40</v>
      </c>
      <c r="J12" s="20" t="n">
        <v>48150</v>
      </c>
      <c r="K12" s="20" t="n">
        <v>35940</v>
      </c>
      <c r="L12" s="21" t="n">
        <f aca="false">SUMIFS(Cleaned_Data!$N$4:$N$243,Cleaned_Data!$C$4:$C$243,$H12,Cleaned_Data!$D$4:$D$243,$I12)</f>
        <v>47038.449</v>
      </c>
      <c r="M12" s="21" t="n">
        <f aca="false">SUMIFS(Cleaned_Data!$O$4:$O$243,Cleaned_Data!$C$4:$C$243,$H12,Cleaned_Data!$D$4:$D$243,$I12)+L12*0.18</f>
        <v>34678.33082</v>
      </c>
    </row>
    <row r="13" customFormat="false" ht="23.85" hidden="false" customHeight="false" outlineLevel="0" collapsed="false">
      <c r="A13" s="7" t="s">
        <v>30</v>
      </c>
      <c r="B13" s="7" t="s">
        <v>496</v>
      </c>
      <c r="H13" s="11" t="s">
        <v>497</v>
      </c>
      <c r="I13" s="11" t="s">
        <v>55</v>
      </c>
      <c r="J13" s="20" t="n">
        <v>65800</v>
      </c>
      <c r="K13" s="20" t="n">
        <v>49020</v>
      </c>
      <c r="L13" s="21" t="n">
        <f aca="false">SUMIFS(Cleaned_Data!$N$4:$N$243,Cleaned_Data!$C$4:$C$243,$H13,Cleaned_Data!$D$4:$D$243,$I13)</f>
        <v>66260.2765</v>
      </c>
      <c r="M13" s="21" t="n">
        <f aca="false">SUMIFS(Cleaned_Data!$O$4:$O$243,Cleaned_Data!$C$4:$C$243,$H13,Cleaned_Data!$D$4:$D$243,$I13)+L13*0.18</f>
        <v>52525.52977</v>
      </c>
    </row>
    <row r="14" customFormat="false" ht="15" hidden="false" customHeight="false" outlineLevel="0" collapsed="false">
      <c r="A14" s="11" t="s">
        <v>55</v>
      </c>
      <c r="B14" s="11" t="s">
        <v>498</v>
      </c>
      <c r="H14" s="11" t="s">
        <v>497</v>
      </c>
      <c r="I14" s="11" t="s">
        <v>46</v>
      </c>
      <c r="J14" s="20" t="n">
        <v>76760</v>
      </c>
      <c r="K14" s="20" t="n">
        <v>57580</v>
      </c>
      <c r="L14" s="21" t="n">
        <f aca="false">SUMIFS(Cleaned_Data!$N$4:$N$243,Cleaned_Data!$C$4:$C$243,$H14,Cleaned_Data!$D$4:$D$243,$I14)</f>
        <v>73576.594</v>
      </c>
      <c r="M14" s="21" t="n">
        <f aca="false">SUMIFS(Cleaned_Data!$O$4:$O$243,Cleaned_Data!$C$4:$C$243,$H14,Cleaned_Data!$D$4:$D$243,$I14)+L14*0.18</f>
        <v>56186.38692</v>
      </c>
    </row>
    <row r="15" customFormat="false" ht="15" hidden="false" customHeight="false" outlineLevel="0" collapsed="false">
      <c r="A15" s="11" t="s">
        <v>46</v>
      </c>
      <c r="B15" s="11" t="s">
        <v>499</v>
      </c>
      <c r="H15" s="11" t="s">
        <v>497</v>
      </c>
      <c r="I15" s="11" t="s">
        <v>61</v>
      </c>
      <c r="J15" s="20" t="n">
        <v>54600</v>
      </c>
      <c r="K15" s="20" t="n">
        <v>43610</v>
      </c>
      <c r="L15" s="21" t="n">
        <f aca="false">SUMIFS(Cleaned_Data!$N$4:$N$243,Cleaned_Data!$C$4:$C$243,$H15,Cleaned_Data!$D$4:$D$243,$I15)</f>
        <v>55823.031</v>
      </c>
      <c r="M15" s="21" t="n">
        <f aca="false">SUMIFS(Cleaned_Data!$O$4:$O$243,Cleaned_Data!$C$4:$C$243,$H15,Cleaned_Data!$D$4:$D$243,$I15)+L15*0.18</f>
        <v>44529.23558</v>
      </c>
    </row>
    <row r="16" customFormat="false" ht="15" hidden="false" customHeight="false" outlineLevel="0" collapsed="false">
      <c r="A16" s="11" t="s">
        <v>61</v>
      </c>
      <c r="B16" s="11" t="s">
        <v>500</v>
      </c>
      <c r="H16" s="11" t="s">
        <v>497</v>
      </c>
      <c r="I16" s="11" t="s">
        <v>40</v>
      </c>
      <c r="J16" s="20" t="n">
        <v>64370</v>
      </c>
      <c r="K16" s="20" t="n">
        <v>43420</v>
      </c>
      <c r="L16" s="21" t="n">
        <f aca="false">SUMIFS(Cleaned_Data!$N$4:$N$243,Cleaned_Data!$C$4:$C$243,$H16,Cleaned_Data!$D$4:$D$243,$I16)</f>
        <v>62733.906</v>
      </c>
      <c r="M16" s="21" t="n">
        <f aca="false">SUMIFS(Cleaned_Data!$O$4:$O$243,Cleaned_Data!$C$4:$C$243,$H16,Cleaned_Data!$D$4:$D$243,$I16)+L16*0.18</f>
        <v>46814.40308</v>
      </c>
    </row>
    <row r="17" customFormat="false" ht="15" hidden="false" customHeight="false" outlineLevel="0" collapsed="false">
      <c r="A17" s="11" t="s">
        <v>40</v>
      </c>
      <c r="B17" s="11" t="s">
        <v>501</v>
      </c>
      <c r="H17" s="11" t="s">
        <v>502</v>
      </c>
      <c r="I17" s="11" t="s">
        <v>55</v>
      </c>
      <c r="J17" s="20" t="n">
        <v>67760</v>
      </c>
      <c r="K17" s="20" t="n">
        <v>52160</v>
      </c>
      <c r="L17" s="21" t="n">
        <f aca="false">SUMIFS(Cleaned_Data!$N$4:$N$243,Cleaned_Data!$C$4:$C$243,$H17,Cleaned_Data!$D$4:$D$243,$I17)</f>
        <v>74901.8825</v>
      </c>
      <c r="M17" s="21" t="n">
        <f aca="false">SUMIFS(Cleaned_Data!$O$4:$O$243,Cleaned_Data!$C$4:$C$243,$H17,Cleaned_Data!$D$4:$D$243,$I17)+L17*0.18</f>
        <v>55172.28885</v>
      </c>
    </row>
    <row r="18" customFormat="false" ht="15" hidden="false" customHeight="false" outlineLevel="0" collapsed="false">
      <c r="H18" s="11" t="s">
        <v>502</v>
      </c>
      <c r="I18" s="11" t="s">
        <v>46</v>
      </c>
      <c r="J18" s="20" t="n">
        <v>73590</v>
      </c>
      <c r="K18" s="20" t="n">
        <v>59290</v>
      </c>
      <c r="L18" s="21" t="n">
        <f aca="false">SUMIFS(Cleaned_Data!$N$4:$N$243,Cleaned_Data!$C$4:$C$243,$H18,Cleaned_Data!$D$4:$D$243,$I18)</f>
        <v>83333.039</v>
      </c>
      <c r="M18" s="21" t="n">
        <f aca="false">SUMIFS(Cleaned_Data!$O$4:$O$243,Cleaned_Data!$C$4:$C$243,$H18,Cleaned_Data!$D$4:$D$243,$I18)+L18*0.18</f>
        <v>60796.68702</v>
      </c>
    </row>
    <row r="19" customFormat="false" ht="15" hidden="false" customHeight="false" outlineLevel="0" collapsed="false">
      <c r="H19" s="11" t="s">
        <v>502</v>
      </c>
      <c r="I19" s="11" t="s">
        <v>61</v>
      </c>
      <c r="J19" s="20" t="n">
        <v>67460</v>
      </c>
      <c r="K19" s="20" t="n">
        <v>50440</v>
      </c>
      <c r="L19" s="21" t="n">
        <f aca="false">SUMIFS(Cleaned_Data!$N$4:$N$243,Cleaned_Data!$C$4:$C$243,$H19,Cleaned_Data!$D$4:$D$243,$I19)</f>
        <v>67197.8755</v>
      </c>
      <c r="M19" s="21" t="n">
        <f aca="false">SUMIFS(Cleaned_Data!$O$4:$O$243,Cleaned_Data!$C$4:$C$243,$H19,Cleaned_Data!$D$4:$D$243,$I19)+L19*0.18</f>
        <v>52081.77759</v>
      </c>
    </row>
    <row r="20" customFormat="false" ht="15" hidden="false" customHeight="false" outlineLevel="0" collapsed="false">
      <c r="A20" s="5" t="s">
        <v>503</v>
      </c>
      <c r="H20" s="11" t="s">
        <v>502</v>
      </c>
      <c r="I20" s="11" t="s">
        <v>40</v>
      </c>
      <c r="J20" s="20" t="n">
        <v>55190</v>
      </c>
      <c r="K20" s="20" t="n">
        <v>38580</v>
      </c>
      <c r="L20" s="21" t="n">
        <f aca="false">SUMIFS(Cleaned_Data!$N$4:$N$243,Cleaned_Data!$C$4:$C$243,$H20,Cleaned_Data!$D$4:$D$243,$I20)</f>
        <v>57175.776</v>
      </c>
      <c r="M20" s="21" t="n">
        <f aca="false">SUMIFS(Cleaned_Data!$O$4:$O$243,Cleaned_Data!$C$4:$C$243,$H20,Cleaned_Data!$D$4:$D$243,$I20)+L20*0.18</f>
        <v>41491.23968</v>
      </c>
    </row>
    <row r="21" customFormat="false" ht="15" hidden="false" customHeight="false" outlineLevel="0" collapsed="false">
      <c r="A21" s="7" t="s">
        <v>33</v>
      </c>
      <c r="H21" s="11" t="s">
        <v>504</v>
      </c>
      <c r="I21" s="11" t="s">
        <v>55</v>
      </c>
      <c r="J21" s="20" t="n">
        <v>73430</v>
      </c>
      <c r="K21" s="20" t="n">
        <v>60580</v>
      </c>
      <c r="L21" s="21" t="n">
        <f aca="false">SUMIFS(Cleaned_Data!$N$4:$N$243,Cleaned_Data!$C$4:$C$243,$H21,Cleaned_Data!$D$4:$D$243,$I21)</f>
        <v>82912.385</v>
      </c>
      <c r="M21" s="21" t="n">
        <f aca="false">SUMIFS(Cleaned_Data!$O$4:$O$243,Cleaned_Data!$C$4:$C$243,$H21,Cleaned_Data!$D$4:$D$243,$I21)+L21*0.18</f>
        <v>61041.8693</v>
      </c>
    </row>
    <row r="22" customFormat="false" ht="15" hidden="false" customHeight="false" outlineLevel="0" collapsed="false">
      <c r="A22" s="11" t="s">
        <v>69</v>
      </c>
      <c r="H22" s="11" t="s">
        <v>504</v>
      </c>
      <c r="I22" s="11" t="s">
        <v>46</v>
      </c>
      <c r="J22" s="20" t="n">
        <v>57430</v>
      </c>
      <c r="K22" s="20" t="n">
        <v>41550</v>
      </c>
      <c r="L22" s="21" t="n">
        <f aca="false">SUMIFS(Cleaned_Data!$N$4:$N$243,Cleaned_Data!$C$4:$C$243,$H22,Cleaned_Data!$D$4:$D$243,$I22)</f>
        <v>57683.8305</v>
      </c>
      <c r="M22" s="21" t="n">
        <f aca="false">SUMIFS(Cleaned_Data!$O$4:$O$243,Cleaned_Data!$C$4:$C$243,$H22,Cleaned_Data!$D$4:$D$243,$I22)+L22*0.18</f>
        <v>44422.82949</v>
      </c>
    </row>
    <row r="23" customFormat="false" ht="15" hidden="false" customHeight="false" outlineLevel="0" collapsed="false">
      <c r="A23" s="11" t="s">
        <v>47</v>
      </c>
      <c r="H23" s="11" t="s">
        <v>504</v>
      </c>
      <c r="I23" s="11" t="s">
        <v>61</v>
      </c>
      <c r="J23" s="20" t="n">
        <v>57950</v>
      </c>
      <c r="K23" s="20" t="n">
        <v>48350</v>
      </c>
      <c r="L23" s="21" t="n">
        <f aca="false">SUMIFS(Cleaned_Data!$N$4:$N$243,Cleaned_Data!$C$4:$C$243,$H23,Cleaned_Data!$D$4:$D$243,$I23)</f>
        <v>62769.471</v>
      </c>
      <c r="M23" s="21" t="n">
        <f aca="false">SUMIFS(Cleaned_Data!$O$4:$O$243,Cleaned_Data!$C$4:$C$243,$H23,Cleaned_Data!$D$4:$D$243,$I23)+L23*0.18</f>
        <v>47231.73478</v>
      </c>
    </row>
    <row r="24" customFormat="false" ht="15" hidden="false" customHeight="false" outlineLevel="0" collapsed="false">
      <c r="A24" s="11" t="s">
        <v>43</v>
      </c>
      <c r="H24" s="11" t="s">
        <v>504</v>
      </c>
      <c r="I24" s="11" t="s">
        <v>40</v>
      </c>
      <c r="J24" s="20" t="n">
        <v>41930</v>
      </c>
      <c r="K24" s="20" t="n">
        <v>33530</v>
      </c>
      <c r="L24" s="21" t="n">
        <f aca="false">SUMIFS(Cleaned_Data!$N$4:$N$243,Cleaned_Data!$C$4:$C$243,$H24,Cleaned_Data!$D$4:$D$243,$I24)</f>
        <v>46967.084</v>
      </c>
      <c r="M24" s="21" t="n">
        <f aca="false">SUMIFS(Cleaned_Data!$O$4:$O$243,Cleaned_Data!$C$4:$C$243,$H24,Cleaned_Data!$D$4:$D$243,$I24)+L24*0.18</f>
        <v>35825.64512</v>
      </c>
    </row>
    <row r="25" customFormat="false" ht="15" hidden="false" customHeight="false" outlineLevel="0" collapsed="false">
      <c r="H25" s="11" t="s">
        <v>505</v>
      </c>
      <c r="I25" s="11" t="s">
        <v>55</v>
      </c>
      <c r="J25" s="20" t="n">
        <v>80150</v>
      </c>
      <c r="K25" s="20" t="n">
        <v>52310</v>
      </c>
      <c r="L25" s="21" t="n">
        <f aca="false">SUMIFS(Cleaned_Data!$N$4:$N$243,Cleaned_Data!$C$4:$C$243,$H25,Cleaned_Data!$D$4:$D$243,$I25)</f>
        <v>77569.8165</v>
      </c>
      <c r="M25" s="21" t="n">
        <f aca="false">SUMIFS(Cleaned_Data!$O$4:$O$243,Cleaned_Data!$C$4:$C$243,$H25,Cleaned_Data!$D$4:$D$243,$I25)+L25*0.18</f>
        <v>57885.72697</v>
      </c>
    </row>
    <row r="26" customFormat="false" ht="15" hidden="false" customHeight="false" outlineLevel="0" collapsed="false">
      <c r="H26" s="11" t="s">
        <v>505</v>
      </c>
      <c r="I26" s="11" t="s">
        <v>46</v>
      </c>
      <c r="J26" s="20" t="n">
        <v>68050</v>
      </c>
      <c r="K26" s="20" t="n">
        <v>51770</v>
      </c>
      <c r="L26" s="21" t="n">
        <f aca="false">SUMIFS(Cleaned_Data!$N$4:$N$243,Cleaned_Data!$C$4:$C$243,$H26,Cleaned_Data!$D$4:$D$243,$I26)</f>
        <v>67381.0965</v>
      </c>
      <c r="M26" s="21" t="n">
        <f aca="false">SUMIFS(Cleaned_Data!$O$4:$O$243,Cleaned_Data!$C$4:$C$243,$H26,Cleaned_Data!$D$4:$D$243,$I26)+L26*0.18</f>
        <v>51387.70737</v>
      </c>
    </row>
    <row r="27" customFormat="false" ht="15" hidden="false" customHeight="false" outlineLevel="0" collapsed="false">
      <c r="H27" s="11" t="s">
        <v>505</v>
      </c>
      <c r="I27" s="11" t="s">
        <v>61</v>
      </c>
      <c r="J27" s="20" t="n">
        <v>57090</v>
      </c>
      <c r="K27" s="20" t="n">
        <v>40540</v>
      </c>
      <c r="L27" s="21" t="n">
        <f aca="false">SUMIFS(Cleaned_Data!$N$4:$N$243,Cleaned_Data!$C$4:$C$243,$H27,Cleaned_Data!$D$4:$D$243,$I27)</f>
        <v>56265.852</v>
      </c>
      <c r="M27" s="21" t="n">
        <f aca="false">SUMIFS(Cleaned_Data!$O$4:$O$243,Cleaned_Data!$C$4:$C$243,$H27,Cleaned_Data!$D$4:$D$243,$I27)+L27*0.18</f>
        <v>41628.63336</v>
      </c>
    </row>
    <row r="28" customFormat="false" ht="15" hidden="false" customHeight="false" outlineLevel="0" collapsed="false">
      <c r="H28" s="11" t="s">
        <v>505</v>
      </c>
      <c r="I28" s="11" t="s">
        <v>40</v>
      </c>
      <c r="J28" s="20" t="n">
        <v>46700</v>
      </c>
      <c r="K28" s="20" t="n">
        <v>37440</v>
      </c>
      <c r="L28" s="21" t="n">
        <f aca="false">SUMIFS(Cleaned_Data!$N$4:$N$243,Cleaned_Data!$C$4:$C$243,$H28,Cleaned_Data!$D$4:$D$243,$I28)</f>
        <v>49744.0525</v>
      </c>
      <c r="M28" s="21" t="n">
        <f aca="false">SUMIFS(Cleaned_Data!$O$4:$O$243,Cleaned_Data!$C$4:$C$243,$H28,Cleaned_Data!$D$4:$D$243,$I28)+L28*0.18</f>
        <v>39187.33945</v>
      </c>
    </row>
    <row r="29" customFormat="false" ht="15" hidden="false" customHeight="false" outlineLevel="0" collapsed="false">
      <c r="H29" s="11" t="s">
        <v>506</v>
      </c>
      <c r="I29" s="11" t="s">
        <v>55</v>
      </c>
      <c r="J29" s="20" t="n">
        <v>82290</v>
      </c>
      <c r="K29" s="20" t="n">
        <v>61610</v>
      </c>
      <c r="L29" s="21" t="n">
        <f aca="false">SUMIFS(Cleaned_Data!$N$4:$N$243,Cleaned_Data!$C$4:$C$243,$H29,Cleaned_Data!$D$4:$D$243,$I29)</f>
        <v>77524.273</v>
      </c>
      <c r="M29" s="21" t="n">
        <f aca="false">SUMIFS(Cleaned_Data!$O$4:$O$243,Cleaned_Data!$C$4:$C$243,$H29,Cleaned_Data!$D$4:$D$243,$I29)+L29*0.18</f>
        <v>60740.16914</v>
      </c>
    </row>
    <row r="30" customFormat="false" ht="15" hidden="false" customHeight="false" outlineLevel="0" collapsed="false">
      <c r="H30" s="11" t="s">
        <v>506</v>
      </c>
      <c r="I30" s="11" t="s">
        <v>46</v>
      </c>
      <c r="J30" s="20" t="n">
        <v>65010</v>
      </c>
      <c r="K30" s="20" t="n">
        <v>56280</v>
      </c>
      <c r="L30" s="21" t="n">
        <f aca="false">SUMIFS(Cleaned_Data!$N$4:$N$243,Cleaned_Data!$C$4:$C$243,$H30,Cleaned_Data!$D$4:$D$243,$I30)</f>
        <v>73005.6345</v>
      </c>
      <c r="M30" s="21" t="n">
        <f aca="false">SUMIFS(Cleaned_Data!$O$4:$O$243,Cleaned_Data!$C$4:$C$243,$H30,Cleaned_Data!$D$4:$D$243,$I30)+L30*0.18</f>
        <v>56561.17421</v>
      </c>
    </row>
    <row r="31" customFormat="false" ht="15" hidden="false" customHeight="false" outlineLevel="0" collapsed="false">
      <c r="H31" s="11" t="s">
        <v>506</v>
      </c>
      <c r="I31" s="11" t="s">
        <v>61</v>
      </c>
      <c r="J31" s="20" t="n">
        <v>50200</v>
      </c>
      <c r="K31" s="20" t="n">
        <v>41490</v>
      </c>
      <c r="L31" s="21" t="n">
        <f aca="false">SUMIFS(Cleaned_Data!$N$4:$N$243,Cleaned_Data!$C$4:$C$243,$H31,Cleaned_Data!$D$4:$D$243,$I31)</f>
        <v>51765.347</v>
      </c>
      <c r="M31" s="21" t="n">
        <f aca="false">SUMIFS(Cleaned_Data!$O$4:$O$243,Cleaned_Data!$C$4:$C$243,$H31,Cleaned_Data!$D$4:$D$243,$I31)+L31*0.18</f>
        <v>40588.80246</v>
      </c>
    </row>
    <row r="32" customFormat="false" ht="15" hidden="false" customHeight="false" outlineLevel="0" collapsed="false">
      <c r="H32" s="11" t="s">
        <v>506</v>
      </c>
      <c r="I32" s="11" t="s">
        <v>40</v>
      </c>
      <c r="J32" s="20" t="n">
        <v>47500</v>
      </c>
      <c r="K32" s="20" t="n">
        <v>38670</v>
      </c>
      <c r="L32" s="21" t="n">
        <f aca="false">SUMIFS(Cleaned_Data!$N$4:$N$243,Cleaned_Data!$C$4:$C$243,$H32,Cleaned_Data!$D$4:$D$243,$I32)</f>
        <v>51454.192</v>
      </c>
      <c r="M32" s="21" t="n">
        <f aca="false">SUMIFS(Cleaned_Data!$O$4:$O$243,Cleaned_Data!$C$4:$C$243,$H32,Cleaned_Data!$D$4:$D$243,$I32)+L32*0.18</f>
        <v>40746.28456</v>
      </c>
    </row>
    <row r="33" customFormat="false" ht="15" hidden="false" customHeight="false" outlineLevel="0" collapsed="false">
      <c r="H33" s="11" t="s">
        <v>507</v>
      </c>
      <c r="I33" s="11" t="s">
        <v>55</v>
      </c>
      <c r="J33" s="20" t="n">
        <v>62980</v>
      </c>
      <c r="K33" s="20" t="n">
        <v>55490</v>
      </c>
      <c r="L33" s="21" t="n">
        <f aca="false">SUMIFS(Cleaned_Data!$N$4:$N$243,Cleaned_Data!$C$4:$C$243,$H33,Cleaned_Data!$D$4:$D$243,$I33)</f>
        <v>68478.713</v>
      </c>
      <c r="M33" s="21" t="n">
        <f aca="false">SUMIFS(Cleaned_Data!$O$4:$O$243,Cleaned_Data!$C$4:$C$243,$H33,Cleaned_Data!$D$4:$D$243,$I33)+L33*0.18</f>
        <v>54305.11834</v>
      </c>
    </row>
    <row r="34" customFormat="false" ht="15" hidden="false" customHeight="false" outlineLevel="0" collapsed="false">
      <c r="H34" s="11" t="s">
        <v>507</v>
      </c>
      <c r="I34" s="11" t="s">
        <v>46</v>
      </c>
      <c r="J34" s="20" t="n">
        <v>69370</v>
      </c>
      <c r="K34" s="20" t="n">
        <v>50270</v>
      </c>
      <c r="L34" s="21" t="n">
        <f aca="false">SUMIFS(Cleaned_Data!$N$4:$N$243,Cleaned_Data!$C$4:$C$243,$H34,Cleaned_Data!$D$4:$D$243,$I34)</f>
        <v>70548.0175</v>
      </c>
      <c r="M34" s="21" t="n">
        <f aca="false">SUMIFS(Cleaned_Data!$O$4:$O$243,Cleaned_Data!$C$4:$C$243,$H34,Cleaned_Data!$D$4:$D$243,$I34)+L34*0.18</f>
        <v>53445.53315</v>
      </c>
    </row>
    <row r="35" customFormat="false" ht="15" hidden="false" customHeight="false" outlineLevel="0" collapsed="false">
      <c r="H35" s="11" t="s">
        <v>507</v>
      </c>
      <c r="I35" s="11" t="s">
        <v>61</v>
      </c>
      <c r="J35" s="20" t="n">
        <v>68590</v>
      </c>
      <c r="K35" s="20" t="n">
        <v>47150</v>
      </c>
      <c r="L35" s="21" t="n">
        <f aca="false">SUMIFS(Cleaned_Data!$N$4:$N$243,Cleaned_Data!$C$4:$C$243,$H35,Cleaned_Data!$D$4:$D$243,$I35)</f>
        <v>67294.9605</v>
      </c>
      <c r="M35" s="21" t="n">
        <f aca="false">SUMIFS(Cleaned_Data!$O$4:$O$243,Cleaned_Data!$C$4:$C$243,$H35,Cleaned_Data!$D$4:$D$243,$I35)+L35*0.18</f>
        <v>50999.18289</v>
      </c>
    </row>
    <row r="36" customFormat="false" ht="15" hidden="false" customHeight="false" outlineLevel="0" collapsed="false">
      <c r="H36" s="11" t="s">
        <v>507</v>
      </c>
      <c r="I36" s="11" t="s">
        <v>40</v>
      </c>
      <c r="J36" s="20" t="n">
        <v>52750</v>
      </c>
      <c r="K36" s="20" t="n">
        <v>42680</v>
      </c>
      <c r="L36" s="21" t="n">
        <f aca="false">SUMIFS(Cleaned_Data!$N$4:$N$243,Cleaned_Data!$C$4:$C$243,$H36,Cleaned_Data!$D$4:$D$243,$I36)</f>
        <v>55224.8535</v>
      </c>
      <c r="M36" s="21" t="n">
        <f aca="false">SUMIFS(Cleaned_Data!$O$4:$O$243,Cleaned_Data!$C$4:$C$243,$H36,Cleaned_Data!$D$4:$D$243,$I36)+L36*0.18</f>
        <v>42279.35363</v>
      </c>
    </row>
    <row r="37" customFormat="false" ht="15" hidden="false" customHeight="false" outlineLevel="0" collapsed="false">
      <c r="H37" s="11" t="s">
        <v>508</v>
      </c>
      <c r="I37" s="11" t="s">
        <v>55</v>
      </c>
      <c r="J37" s="20" t="n">
        <v>72650</v>
      </c>
      <c r="K37" s="20" t="n">
        <v>53950</v>
      </c>
      <c r="L37" s="21" t="n">
        <f aca="false">SUMIFS(Cleaned_Data!$N$4:$N$243,Cleaned_Data!$C$4:$C$243,$H37,Cleaned_Data!$D$4:$D$243,$I37)</f>
        <v>76271.3175</v>
      </c>
      <c r="M37" s="21" t="n">
        <f aca="false">SUMIFS(Cleaned_Data!$O$4:$O$243,Cleaned_Data!$C$4:$C$243,$H37,Cleaned_Data!$D$4:$D$243,$I37)+L37*0.18</f>
        <v>57602.12715</v>
      </c>
    </row>
    <row r="38" customFormat="false" ht="15" hidden="false" customHeight="false" outlineLevel="0" collapsed="false">
      <c r="H38" s="11" t="s">
        <v>508</v>
      </c>
      <c r="I38" s="11" t="s">
        <v>46</v>
      </c>
      <c r="J38" s="20" t="n">
        <v>59000</v>
      </c>
      <c r="K38" s="20" t="n">
        <v>50510</v>
      </c>
      <c r="L38" s="21" t="n">
        <f aca="false">SUMIFS(Cleaned_Data!$N$4:$N$243,Cleaned_Data!$C$4:$C$243,$H38,Cleaned_Data!$D$4:$D$243,$I38)</f>
        <v>66562.8115</v>
      </c>
      <c r="M38" s="21" t="n">
        <f aca="false">SUMIFS(Cleaned_Data!$O$4:$O$243,Cleaned_Data!$C$4:$C$243,$H38,Cleaned_Data!$D$4:$D$243,$I38)+L38*0.18</f>
        <v>50979.62607</v>
      </c>
    </row>
    <row r="39" customFormat="false" ht="15" hidden="false" customHeight="false" outlineLevel="0" collapsed="false">
      <c r="H39" s="11" t="s">
        <v>508</v>
      </c>
      <c r="I39" s="11" t="s">
        <v>61</v>
      </c>
      <c r="J39" s="20" t="n">
        <v>53690</v>
      </c>
      <c r="K39" s="20" t="n">
        <v>43100</v>
      </c>
      <c r="L39" s="21" t="n">
        <f aca="false">SUMIFS(Cleaned_Data!$N$4:$N$243,Cleaned_Data!$C$4:$C$243,$H39,Cleaned_Data!$D$4:$D$243,$I39)</f>
        <v>54292.1595</v>
      </c>
      <c r="M39" s="21" t="n">
        <f aca="false">SUMIFS(Cleaned_Data!$O$4:$O$243,Cleaned_Data!$C$4:$C$243,$H39,Cleaned_Data!$D$4:$D$243,$I39)+L39*0.18</f>
        <v>42366.47871</v>
      </c>
    </row>
    <row r="40" customFormat="false" ht="15" hidden="false" customHeight="false" outlineLevel="0" collapsed="false">
      <c r="H40" s="11" t="s">
        <v>508</v>
      </c>
      <c r="I40" s="11" t="s">
        <v>40</v>
      </c>
      <c r="J40" s="20" t="n">
        <v>62080</v>
      </c>
      <c r="K40" s="20" t="n">
        <v>48370</v>
      </c>
      <c r="L40" s="21" t="n">
        <f aca="false">SUMIFS(Cleaned_Data!$N$4:$N$243,Cleaned_Data!$C$4:$C$243,$H40,Cleaned_Data!$D$4:$D$243,$I40)</f>
        <v>64822.948</v>
      </c>
      <c r="M40" s="21" t="n">
        <f aca="false">SUMIFS(Cleaned_Data!$O$4:$O$243,Cleaned_Data!$C$4:$C$243,$H40,Cleaned_Data!$D$4:$D$243,$I40)+L40*0.18</f>
        <v>49170.58064</v>
      </c>
    </row>
    <row r="41" customFormat="false" ht="15" hidden="false" customHeight="false" outlineLevel="0" collapsed="false">
      <c r="H41" s="11" t="s">
        <v>509</v>
      </c>
      <c r="I41" s="11" t="s">
        <v>55</v>
      </c>
      <c r="J41" s="20" t="n">
        <v>70920</v>
      </c>
      <c r="K41" s="20" t="n">
        <v>50030</v>
      </c>
      <c r="L41" s="21" t="n">
        <f aca="false">SUMIFS(Cleaned_Data!$N$4:$N$243,Cleaned_Data!$C$4:$C$243,$H41,Cleaned_Data!$D$4:$D$243,$I41)</f>
        <v>70443.952</v>
      </c>
      <c r="M41" s="21" t="n">
        <f aca="false">SUMIFS(Cleaned_Data!$O$4:$O$243,Cleaned_Data!$C$4:$C$243,$H41,Cleaned_Data!$D$4:$D$243,$I41)+L41*0.18</f>
        <v>54951.52136</v>
      </c>
    </row>
    <row r="42" customFormat="false" ht="15" hidden="false" customHeight="false" outlineLevel="0" collapsed="false">
      <c r="H42" s="11" t="s">
        <v>509</v>
      </c>
      <c r="I42" s="11" t="s">
        <v>46</v>
      </c>
      <c r="J42" s="20" t="n">
        <v>80330</v>
      </c>
      <c r="K42" s="20" t="n">
        <v>60490</v>
      </c>
      <c r="L42" s="21" t="n">
        <f aca="false">SUMIFS(Cleaned_Data!$N$4:$N$243,Cleaned_Data!$C$4:$C$243,$H42,Cleaned_Data!$D$4:$D$243,$I42)</f>
        <v>85198.118</v>
      </c>
      <c r="M42" s="21" t="n">
        <f aca="false">SUMIFS(Cleaned_Data!$O$4:$O$243,Cleaned_Data!$C$4:$C$243,$H42,Cleaned_Data!$D$4:$D$243,$I42)+L42*0.18</f>
        <v>63308.23124</v>
      </c>
    </row>
    <row r="43" customFormat="false" ht="15" hidden="false" customHeight="false" outlineLevel="0" collapsed="false">
      <c r="H43" s="11" t="s">
        <v>509</v>
      </c>
      <c r="I43" s="11" t="s">
        <v>61</v>
      </c>
      <c r="J43" s="20" t="n">
        <v>62410</v>
      </c>
      <c r="K43" s="20" t="n">
        <v>50580</v>
      </c>
      <c r="L43" s="21" t="n">
        <f aca="false">SUMIFS(Cleaned_Data!$N$4:$N$243,Cleaned_Data!$C$4:$C$243,$H43,Cleaned_Data!$D$4:$D$243,$I43)</f>
        <v>68692.283</v>
      </c>
      <c r="M43" s="21" t="n">
        <f aca="false">SUMIFS(Cleaned_Data!$O$4:$O$243,Cleaned_Data!$C$4:$C$243,$H43,Cleaned_Data!$D$4:$D$243,$I43)+L43*0.18</f>
        <v>51690.34094</v>
      </c>
    </row>
    <row r="44" customFormat="false" ht="15" hidden="false" customHeight="false" outlineLevel="0" collapsed="false">
      <c r="H44" s="11" t="s">
        <v>509</v>
      </c>
      <c r="I44" s="11" t="s">
        <v>40</v>
      </c>
      <c r="J44" s="20" t="n">
        <v>62780</v>
      </c>
      <c r="K44" s="20" t="n">
        <v>46250</v>
      </c>
      <c r="L44" s="21" t="n">
        <f aca="false">SUMIFS(Cleaned_Data!$N$4:$N$243,Cleaned_Data!$C$4:$C$243,$H44,Cleaned_Data!$D$4:$D$243,$I44)</f>
        <v>65226.1715</v>
      </c>
      <c r="M44" s="21" t="n">
        <f aca="false">SUMIFS(Cleaned_Data!$O$4:$O$243,Cleaned_Data!$C$4:$C$243,$H44,Cleaned_Data!$D$4:$D$243,$I44)+L44*0.18</f>
        <v>48538.68087</v>
      </c>
    </row>
    <row r="45" customFormat="false" ht="15" hidden="false" customHeight="false" outlineLevel="0" collapsed="false">
      <c r="H45" s="11" t="s">
        <v>510</v>
      </c>
      <c r="I45" s="11" t="s">
        <v>55</v>
      </c>
      <c r="J45" s="20" t="n">
        <v>90020</v>
      </c>
      <c r="K45" s="20" t="n">
        <v>71960</v>
      </c>
      <c r="L45" s="21" t="n">
        <f aca="false">SUMIFS(Cleaned_Data!$N$4:$N$243,Cleaned_Data!$C$4:$C$243,$H45,Cleaned_Data!$D$4:$D$243,$I45)</f>
        <v>96338.5225</v>
      </c>
      <c r="M45" s="21" t="n">
        <f aca="false">SUMIFS(Cleaned_Data!$O$4:$O$243,Cleaned_Data!$C$4:$C$243,$H45,Cleaned_Data!$D$4:$D$243,$I45)+L45*0.18</f>
        <v>73124.11405</v>
      </c>
    </row>
    <row r="46" customFormat="false" ht="15" hidden="false" customHeight="false" outlineLevel="0" collapsed="false">
      <c r="H46" s="11" t="s">
        <v>510</v>
      </c>
      <c r="I46" s="11" t="s">
        <v>46</v>
      </c>
      <c r="J46" s="20" t="n">
        <v>92830</v>
      </c>
      <c r="K46" s="20" t="n">
        <v>68400</v>
      </c>
      <c r="L46" s="21" t="n">
        <f aca="false">SUMIFS(Cleaned_Data!$N$4:$N$243,Cleaned_Data!$C$4:$C$243,$H46,Cleaned_Data!$D$4:$D$243,$I46)</f>
        <v>95691.633</v>
      </c>
      <c r="M46" s="21" t="n">
        <f aca="false">SUMIFS(Cleaned_Data!$O$4:$O$243,Cleaned_Data!$C$4:$C$243,$H46,Cleaned_Data!$D$4:$D$243,$I46)+L46*0.18</f>
        <v>72953.84394</v>
      </c>
    </row>
    <row r="47" customFormat="false" ht="15" hidden="false" customHeight="false" outlineLevel="0" collapsed="false">
      <c r="H47" s="11" t="s">
        <v>510</v>
      </c>
      <c r="I47" s="11" t="s">
        <v>61</v>
      </c>
      <c r="J47" s="20" t="n">
        <v>79050</v>
      </c>
      <c r="K47" s="20" t="n">
        <v>58150</v>
      </c>
      <c r="L47" s="21" t="n">
        <f aca="false">SUMIFS(Cleaned_Data!$N$4:$N$243,Cleaned_Data!$C$4:$C$243,$H47,Cleaned_Data!$D$4:$D$243,$I47)</f>
        <v>74910.871</v>
      </c>
      <c r="M47" s="21" t="n">
        <f aca="false">SUMIFS(Cleaned_Data!$O$4:$O$243,Cleaned_Data!$C$4:$C$243,$H47,Cleaned_Data!$D$4:$D$243,$I47)+L47*0.18</f>
        <v>58452.78678</v>
      </c>
    </row>
    <row r="48" customFormat="false" ht="15" hidden="false" customHeight="false" outlineLevel="0" collapsed="false">
      <c r="H48" s="11" t="s">
        <v>510</v>
      </c>
      <c r="I48" s="11" t="s">
        <v>40</v>
      </c>
      <c r="J48" s="20" t="n">
        <v>67850</v>
      </c>
      <c r="K48" s="20" t="n">
        <v>51940</v>
      </c>
      <c r="L48" s="21" t="n">
        <f aca="false">SUMIFS(Cleaned_Data!$N$4:$N$243,Cleaned_Data!$C$4:$C$243,$H48,Cleaned_Data!$D$4:$D$243,$I48)</f>
        <v>65924.5945</v>
      </c>
      <c r="M48" s="21" t="n">
        <f aca="false">SUMIFS(Cleaned_Data!$O$4:$O$243,Cleaned_Data!$C$4:$C$243,$H48,Cleaned_Data!$D$4:$D$243,$I48)+L48*0.18</f>
        <v>50453.42701</v>
      </c>
    </row>
    <row r="49" customFormat="false" ht="15" hidden="false" customHeight="false" outlineLevel="0" collapsed="false">
      <c r="H49" s="11" t="s">
        <v>511</v>
      </c>
      <c r="I49" s="11" t="s">
        <v>55</v>
      </c>
      <c r="J49" s="20" t="n">
        <v>88950</v>
      </c>
      <c r="K49" s="20" t="n">
        <v>69260</v>
      </c>
      <c r="L49" s="21" t="n">
        <f aca="false">SUMIFS(Cleaned_Data!$N$4:$N$243,Cleaned_Data!$C$4:$C$243,$H49,Cleaned_Data!$D$4:$D$243,$I49)</f>
        <v>93007.929</v>
      </c>
      <c r="M49" s="21" t="n">
        <f aca="false">SUMIFS(Cleaned_Data!$O$4:$O$243,Cleaned_Data!$C$4:$C$243,$H49,Cleaned_Data!$D$4:$D$243,$I49)+L49*0.18</f>
        <v>70102.03722</v>
      </c>
    </row>
    <row r="50" customFormat="false" ht="15" hidden="false" customHeight="false" outlineLevel="0" collapsed="false">
      <c r="H50" s="11" t="s">
        <v>511</v>
      </c>
      <c r="I50" s="11" t="s">
        <v>46</v>
      </c>
      <c r="J50" s="20" t="n">
        <v>90320</v>
      </c>
      <c r="K50" s="20" t="n">
        <v>63550</v>
      </c>
      <c r="L50" s="21" t="n">
        <f aca="false">SUMIFS(Cleaned_Data!$N$4:$N$243,Cleaned_Data!$C$4:$C$243,$H50,Cleaned_Data!$D$4:$D$243,$I50)</f>
        <v>86254.793</v>
      </c>
      <c r="M50" s="21" t="n">
        <f aca="false">SUMIFS(Cleaned_Data!$O$4:$O$243,Cleaned_Data!$C$4:$C$243,$H50,Cleaned_Data!$D$4:$D$243,$I50)+L50*0.18</f>
        <v>65860.44274</v>
      </c>
    </row>
    <row r="51" customFormat="false" ht="15" hidden="false" customHeight="false" outlineLevel="0" collapsed="false">
      <c r="H51" s="11" t="s">
        <v>511</v>
      </c>
      <c r="I51" s="11" t="s">
        <v>61</v>
      </c>
      <c r="J51" s="20" t="n">
        <v>83300</v>
      </c>
      <c r="K51" s="20" t="n">
        <v>57820</v>
      </c>
      <c r="L51" s="21" t="n">
        <f aca="false">SUMIFS(Cleaned_Data!$N$4:$N$243,Cleaned_Data!$C$4:$C$243,$H51,Cleaned_Data!$D$4:$D$243,$I51)</f>
        <v>84983.7475</v>
      </c>
      <c r="M51" s="21" t="n">
        <f aca="false">SUMIFS(Cleaned_Data!$O$4:$O$243,Cleaned_Data!$C$4:$C$243,$H51,Cleaned_Data!$D$4:$D$243,$I51)+L51*0.18</f>
        <v>63843.73455</v>
      </c>
    </row>
    <row r="52" customFormat="false" ht="15" hidden="false" customHeight="false" outlineLevel="0" collapsed="false">
      <c r="H52" s="11" t="s">
        <v>511</v>
      </c>
      <c r="I52" s="11" t="s">
        <v>40</v>
      </c>
      <c r="J52" s="20" t="n">
        <v>69450</v>
      </c>
      <c r="K52" s="20" t="n">
        <v>48710</v>
      </c>
      <c r="L52" s="21" t="n">
        <f aca="false">SUMIFS(Cleaned_Data!$N$4:$N$243,Cleaned_Data!$C$4:$C$243,$H52,Cleaned_Data!$D$4:$D$243,$I52)</f>
        <v>66661.998</v>
      </c>
      <c r="M52" s="21" t="n">
        <f aca="false">SUMIFS(Cleaned_Data!$O$4:$O$243,Cleaned_Data!$C$4:$C$243,$H52,Cleaned_Data!$D$4:$D$243,$I52)+L52*0.18</f>
        <v>50402.17964</v>
      </c>
    </row>
  </sheetData>
  <mergeCells count="2">
    <mergeCell ref="A1:F1"/>
    <mergeCell ref="H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42"/>
    <col collapsed="false" customWidth="true" hidden="false" outlineLevel="0" max="4" min="4" style="0" width="50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6" t="s">
        <v>512</v>
      </c>
      <c r="B1" s="6"/>
      <c r="C1" s="6"/>
      <c r="D1" s="6"/>
      <c r="E1" s="6"/>
      <c r="F1" s="6"/>
    </row>
    <row r="3" customFormat="false" ht="15" hidden="false" customHeight="false" outlineLevel="0" collapsed="false">
      <c r="A3" s="7" t="s">
        <v>513</v>
      </c>
      <c r="B3" s="7" t="s">
        <v>514</v>
      </c>
      <c r="C3" s="7" t="s">
        <v>515</v>
      </c>
      <c r="D3" s="7" t="s">
        <v>516</v>
      </c>
      <c r="E3" s="7" t="s">
        <v>517</v>
      </c>
    </row>
    <row r="4" customFormat="false" ht="22.35" hidden="false" customHeight="false" outlineLevel="0" collapsed="false">
      <c r="A4" s="11" t="s">
        <v>518</v>
      </c>
      <c r="B4" s="11" t="s">
        <v>519</v>
      </c>
      <c r="C4" s="22" t="s">
        <v>520</v>
      </c>
      <c r="D4" s="23" t="s">
        <v>521</v>
      </c>
      <c r="E4" s="13" t="n">
        <f aca="false">INDEX(Lookup_Tables!$C$5:$C$9,MATCH("Product C",Lookup_Tables!$A$5:$A$9,0))</f>
        <v>0.4</v>
      </c>
    </row>
    <row r="5" customFormat="false" ht="22.35" hidden="false" customHeight="false" outlineLevel="0" collapsed="false">
      <c r="A5" s="11" t="s">
        <v>522</v>
      </c>
      <c r="B5" s="11" t="s">
        <v>523</v>
      </c>
      <c r="C5" s="22" t="s">
        <v>524</v>
      </c>
      <c r="D5" s="23" t="s">
        <v>525</v>
      </c>
      <c r="E5" s="11" t="n">
        <f aca="false">SUMIFS(Cleaned_Data!$N$4:$N$243,Cleaned_Data!$D$4:$D$243,"Asia",Cleaned_Data!$E$4:$E$243,"Product A")</f>
        <v>243564.0115</v>
      </c>
    </row>
    <row r="6" customFormat="false" ht="23.85" hidden="false" customHeight="false" outlineLevel="0" collapsed="false">
      <c r="A6" s="11" t="s">
        <v>526</v>
      </c>
      <c r="B6" s="11" t="s">
        <v>527</v>
      </c>
      <c r="C6" s="22" t="s">
        <v>528</v>
      </c>
      <c r="D6" s="23" t="s">
        <v>529</v>
      </c>
      <c r="E6" s="11" t="n">
        <f aca="false">COUNTIFS(Cleaned_Data!$D$4:$D$243,"Europe",Cleaned_Data!$G$4:$G$243,"Online")</f>
        <v>18</v>
      </c>
    </row>
    <row r="7" customFormat="false" ht="22.35" hidden="false" customHeight="false" outlineLevel="0" collapsed="false">
      <c r="A7" s="11" t="s">
        <v>530</v>
      </c>
      <c r="B7" s="11" t="s">
        <v>531</v>
      </c>
      <c r="C7" s="22" t="s">
        <v>532</v>
      </c>
      <c r="D7" s="23" t="s">
        <v>533</v>
      </c>
      <c r="E7" s="11" t="n">
        <f aca="false">AVERAGEIFS(Cleaned_Data!$K$4:$K$243,Cleaned_Data!$E$4:$E$243,"Product D")</f>
        <v>0.0614583333333333</v>
      </c>
    </row>
    <row r="8" customFormat="false" ht="23.85" hidden="false" customHeight="false" outlineLevel="0" collapsed="false">
      <c r="A8" s="11" t="s">
        <v>534</v>
      </c>
      <c r="B8" s="11" t="s">
        <v>535</v>
      </c>
      <c r="C8" s="22" t="s">
        <v>536</v>
      </c>
      <c r="D8" s="23" t="s">
        <v>537</v>
      </c>
      <c r="E8" s="11" t="n">
        <f aca="false">SUMPRODUCT(--(Cleaned_Data!$H$4:$H$243&lt;&gt;""),Cleaned_Data!$H$4:$H$243)</f>
        <v>52297</v>
      </c>
    </row>
    <row r="9" customFormat="false" ht="23.85" hidden="false" customHeight="false" outlineLevel="0" collapsed="false">
      <c r="A9" s="11" t="s">
        <v>538</v>
      </c>
      <c r="B9" s="11" t="s">
        <v>539</v>
      </c>
      <c r="C9" s="22" t="s">
        <v>540</v>
      </c>
      <c r="D9" s="23" t="s">
        <v>541</v>
      </c>
      <c r="E9" s="11" t="n">
        <f aca="false">IFERROR(Cleaned_Data!P4/Cleaned_Data!N4,0)</f>
        <v>0.386643521139163</v>
      </c>
    </row>
    <row r="10" customFormat="false" ht="22.35" hidden="false" customHeight="false" outlineLevel="0" collapsed="false">
      <c r="A10" s="11" t="s">
        <v>542</v>
      </c>
      <c r="B10" s="11" t="s">
        <v>543</v>
      </c>
      <c r="C10" s="22" t="s">
        <v>544</v>
      </c>
      <c r="D10" s="23" t="s">
        <v>545</v>
      </c>
      <c r="E10" s="11" t="str">
        <f aca="false">_xlfn.IFS(Cleaned_Data!Q4&lt;0.2,"Low",Cleaned_Data!Q4&lt;0.4,"Medium",TRUE(),"High")</f>
        <v>Medium</v>
      </c>
    </row>
    <row r="11" customFormat="false" ht="22.35" hidden="false" customHeight="false" outlineLevel="0" collapsed="false">
      <c r="A11" s="11" t="s">
        <v>546</v>
      </c>
      <c r="B11" s="11" t="s">
        <v>547</v>
      </c>
      <c r="C11" s="22" t="s">
        <v>548</v>
      </c>
      <c r="D11" s="23" t="s">
        <v>549</v>
      </c>
      <c r="E11" s="11" t="str">
        <f aca="false">_xlfn.TEXTJOIN(" - ",TRUE(),Cleaned_Data!D4,Cleaned_Data!E4)</f>
        <v>North America - Product B</v>
      </c>
    </row>
    <row r="12" customFormat="false" ht="32.8" hidden="false" customHeight="false" outlineLevel="0" collapsed="false">
      <c r="A12" s="11" t="s">
        <v>550</v>
      </c>
      <c r="B12" s="11" t="s">
        <v>551</v>
      </c>
      <c r="C12" s="22" t="s">
        <v>552</v>
      </c>
      <c r="D12" s="23" t="s">
        <v>553</v>
      </c>
      <c r="E12" s="11" t="str">
        <f aca="false">INDEX(Cleaned_Data!$D$4:$D$243,MATCH(MAX(Cleaned_Data!$N$4:$N$243),Cleaned_Data!$N$4:$N$243,0))</f>
        <v>Europe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183"/>
    <pageSetUpPr fitToPage="false"/>
  </sheetPr>
  <dimension ref="A1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3"/>
    <col collapsed="false" customWidth="true" hidden="false" outlineLevel="0" max="7" min="6" style="0" width="14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6" t="s">
        <v>554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customFormat="false" ht="23.85" hidden="false" customHeight="false" outlineLevel="0" collapsed="false">
      <c r="A3" s="7" t="s">
        <v>477</v>
      </c>
      <c r="B3" s="7" t="s">
        <v>555</v>
      </c>
      <c r="C3" s="7" t="s">
        <v>556</v>
      </c>
      <c r="D3" s="7" t="s">
        <v>483</v>
      </c>
      <c r="E3" s="7" t="s">
        <v>557</v>
      </c>
      <c r="F3" s="7" t="s">
        <v>489</v>
      </c>
      <c r="G3" s="7" t="s">
        <v>490</v>
      </c>
      <c r="H3" s="7" t="s">
        <v>558</v>
      </c>
      <c r="I3" s="7" t="s">
        <v>559</v>
      </c>
      <c r="J3" s="7" t="s">
        <v>560</v>
      </c>
    </row>
    <row r="4" customFormat="false" ht="15" hidden="false" customHeight="false" outlineLevel="0" collapsed="false">
      <c r="A4" s="8" t="s">
        <v>493</v>
      </c>
      <c r="B4" s="24" t="n">
        <f aca="false">SUMIFS(Cleaned_Data!$N$4:$N$243,Cleaned_Data!$C$4:$C$243,$A4)</f>
        <v>245732.034</v>
      </c>
      <c r="C4" s="24" t="n">
        <f aca="false">SUMIFS(Cleaned_Data!$O$4:$O$243,Cleaned_Data!$C$4:$C$243,$A4)</f>
        <v>140649.21</v>
      </c>
      <c r="D4" s="24" t="n">
        <f aca="false">B4-C4</f>
        <v>105082.824</v>
      </c>
      <c r="E4" s="15" t="n">
        <f aca="false">IFERROR(D4/B4,0)</f>
        <v>0.427631767374701</v>
      </c>
      <c r="F4" s="24" t="n">
        <f aca="false">SUMIFS(Lookup_Tables!$J$5:$J$52,Lookup_Tables!$H$5:$H$52,$A4)</f>
        <v>248700</v>
      </c>
      <c r="G4" s="24" t="n">
        <f aca="false">SUMIFS(Lookup_Tables!$K$5:$K$52,Lookup_Tables!$H$5:$H$52,$A4)</f>
        <v>175990</v>
      </c>
      <c r="H4" s="25" t="n">
        <f aca="false">B4-F4</f>
        <v>-2967.96599999999</v>
      </c>
      <c r="I4" s="15" t="n">
        <f aca="false">IFERROR(H4/F4,0)</f>
        <v>-0.0119339203860072</v>
      </c>
      <c r="J4" s="15" t="n">
        <f aca="false">0%</f>
        <v>0</v>
      </c>
    </row>
    <row r="5" customFormat="false" ht="15" hidden="false" customHeight="false" outlineLevel="0" collapsed="false">
      <c r="A5" s="11" t="s">
        <v>494</v>
      </c>
      <c r="B5" s="26" t="n">
        <f aca="false">SUMIFS(Cleaned_Data!$N$4:$N$243,Cleaned_Data!$C$4:$C$243,$A5)</f>
        <v>255644.9075</v>
      </c>
      <c r="C5" s="26" t="n">
        <f aca="false">SUMIFS(Cleaned_Data!$O$4:$O$243,Cleaned_Data!$C$4:$C$243,$A5)</f>
        <v>148826.71</v>
      </c>
      <c r="D5" s="26" t="n">
        <f aca="false">B5-C5</f>
        <v>106818.1975</v>
      </c>
      <c r="E5" s="17" t="n">
        <f aca="false">IFERROR(D5/B5,0)</f>
        <v>0.417838158970564</v>
      </c>
      <c r="F5" s="26" t="n">
        <f aca="false">SUMIFS(Lookup_Tables!$J$5:$J$52,Lookup_Tables!$H$5:$H$52,$A5)</f>
        <v>250380</v>
      </c>
      <c r="G5" s="26" t="n">
        <f aca="false">SUMIFS(Lookup_Tables!$K$5:$K$52,Lookup_Tables!$H$5:$H$52,$A5)</f>
        <v>190690</v>
      </c>
      <c r="H5" s="27" t="n">
        <f aca="false">B5-F5</f>
        <v>5264.9075</v>
      </c>
      <c r="I5" s="17" t="n">
        <f aca="false">IFERROR(H5/F5,0)</f>
        <v>0.021027667944724</v>
      </c>
      <c r="J5" s="17" t="n">
        <f aca="false">IFERROR((B5-B4)/B4,0)</f>
        <v>0.0403401759983804</v>
      </c>
    </row>
    <row r="6" customFormat="false" ht="15" hidden="false" customHeight="false" outlineLevel="0" collapsed="false">
      <c r="A6" s="8" t="s">
        <v>497</v>
      </c>
      <c r="B6" s="24" t="n">
        <f aca="false">SUMIFS(Cleaned_Data!$N$4:$N$243,Cleaned_Data!$C$4:$C$243,$A6)</f>
        <v>258393.8075</v>
      </c>
      <c r="C6" s="24" t="n">
        <f aca="false">SUMIFS(Cleaned_Data!$O$4:$O$243,Cleaned_Data!$C$4:$C$243,$A6)</f>
        <v>153544.67</v>
      </c>
      <c r="D6" s="24" t="n">
        <f aca="false">B6-C6</f>
        <v>104849.1375</v>
      </c>
      <c r="E6" s="15" t="n">
        <f aca="false">IFERROR(D6/B6,0)</f>
        <v>0.405772640275058</v>
      </c>
      <c r="F6" s="24" t="n">
        <f aca="false">SUMIFS(Lookup_Tables!$J$5:$J$52,Lookup_Tables!$H$5:$H$52,$A6)</f>
        <v>261530</v>
      </c>
      <c r="G6" s="24" t="n">
        <f aca="false">SUMIFS(Lookup_Tables!$K$5:$K$52,Lookup_Tables!$H$5:$H$52,$A6)</f>
        <v>193630</v>
      </c>
      <c r="H6" s="25" t="n">
        <f aca="false">B6-F6</f>
        <v>-3136.1925</v>
      </c>
      <c r="I6" s="15" t="n">
        <f aca="false">IFERROR(H6/F6,0)</f>
        <v>-0.0119917122318663</v>
      </c>
      <c r="J6" s="15" t="n">
        <f aca="false">IFERROR((B6-B5)/B5,0)</f>
        <v>0.0107528056274698</v>
      </c>
    </row>
    <row r="7" customFormat="false" ht="15" hidden="false" customHeight="false" outlineLevel="0" collapsed="false">
      <c r="A7" s="11" t="s">
        <v>502</v>
      </c>
      <c r="B7" s="26" t="n">
        <f aca="false">SUMIFS(Cleaned_Data!$N$4:$N$243,Cleaned_Data!$C$4:$C$243,$A7)</f>
        <v>282608.573</v>
      </c>
      <c r="C7" s="26" t="n">
        <f aca="false">SUMIFS(Cleaned_Data!$O$4:$O$243,Cleaned_Data!$C$4:$C$243,$A7)</f>
        <v>158672.45</v>
      </c>
      <c r="D7" s="26" t="n">
        <f aca="false">B7-C7</f>
        <v>123936.123</v>
      </c>
      <c r="E7" s="17" t="n">
        <f aca="false">IFERROR(D7/B7,0)</f>
        <v>0.438543394789372</v>
      </c>
      <c r="F7" s="26" t="n">
        <f aca="false">SUMIFS(Lookup_Tables!$J$5:$J$52,Lookup_Tables!$H$5:$H$52,$A7)</f>
        <v>264000</v>
      </c>
      <c r="G7" s="26" t="n">
        <f aca="false">SUMIFS(Lookup_Tables!$K$5:$K$52,Lookup_Tables!$H$5:$H$52,$A7)</f>
        <v>200470</v>
      </c>
      <c r="H7" s="27" t="n">
        <f aca="false">B7-F7</f>
        <v>18608.573</v>
      </c>
      <c r="I7" s="17" t="n">
        <f aca="false">IFERROR(H7/F7,0)</f>
        <v>0.0704870189393941</v>
      </c>
      <c r="J7" s="17" t="n">
        <f aca="false">IFERROR((B7-B6)/B6,0)</f>
        <v>0.0937126386049327</v>
      </c>
    </row>
    <row r="8" customFormat="false" ht="15" hidden="false" customHeight="false" outlineLevel="0" collapsed="false">
      <c r="A8" s="8" t="s">
        <v>504</v>
      </c>
      <c r="B8" s="24" t="n">
        <f aca="false">SUMIFS(Cleaned_Data!$N$4:$N$243,Cleaned_Data!$C$4:$C$243,$A8)</f>
        <v>250332.7705</v>
      </c>
      <c r="C8" s="24" t="n">
        <f aca="false">SUMIFS(Cleaned_Data!$O$4:$O$243,Cleaned_Data!$C$4:$C$243,$A8)</f>
        <v>143462.18</v>
      </c>
      <c r="D8" s="24" t="n">
        <f aca="false">B8-C8</f>
        <v>106870.5905</v>
      </c>
      <c r="E8" s="15" t="n">
        <f aca="false">IFERROR(D8/B8,0)</f>
        <v>0.426914104320193</v>
      </c>
      <c r="F8" s="24" t="n">
        <f aca="false">SUMIFS(Lookup_Tables!$J$5:$J$52,Lookup_Tables!$H$5:$H$52,$A8)</f>
        <v>230740</v>
      </c>
      <c r="G8" s="24" t="n">
        <f aca="false">SUMIFS(Lookup_Tables!$K$5:$K$52,Lookup_Tables!$H$5:$H$52,$A8)</f>
        <v>184010</v>
      </c>
      <c r="H8" s="25" t="n">
        <f aca="false">B8-F8</f>
        <v>19592.7705</v>
      </c>
      <c r="I8" s="15" t="n">
        <f aca="false">IFERROR(H8/F8,0)</f>
        <v>0.084912761116408</v>
      </c>
      <c r="J8" s="15" t="n">
        <f aca="false">IFERROR((B8-B7)/B7,0)</f>
        <v>-0.114206735334954</v>
      </c>
    </row>
    <row r="9" customFormat="false" ht="15" hidden="false" customHeight="false" outlineLevel="0" collapsed="false">
      <c r="A9" s="11" t="s">
        <v>505</v>
      </c>
      <c r="B9" s="26" t="n">
        <f aca="false">SUMIFS(Cleaned_Data!$N$4:$N$243,Cleaned_Data!$C$4:$C$243,$A9)</f>
        <v>250960.8175</v>
      </c>
      <c r="C9" s="26" t="n">
        <f aca="false">SUMIFS(Cleaned_Data!$O$4:$O$243,Cleaned_Data!$C$4:$C$243,$A9)</f>
        <v>144916.46</v>
      </c>
      <c r="D9" s="26" t="n">
        <f aca="false">B9-C9</f>
        <v>106044.3575</v>
      </c>
      <c r="E9" s="17" t="n">
        <f aca="false">IFERROR(D9/B9,0)</f>
        <v>0.42255344302901</v>
      </c>
      <c r="F9" s="26" t="n">
        <f aca="false">SUMIFS(Lookup_Tables!$J$5:$J$52,Lookup_Tables!$H$5:$H$52,$A9)</f>
        <v>251990</v>
      </c>
      <c r="G9" s="26" t="n">
        <f aca="false">SUMIFS(Lookup_Tables!$K$5:$K$52,Lookup_Tables!$H$5:$H$52,$A9)</f>
        <v>182060</v>
      </c>
      <c r="H9" s="27" t="n">
        <f aca="false">B9-F9</f>
        <v>-1029.1825</v>
      </c>
      <c r="I9" s="17" t="n">
        <f aca="false">IFERROR(H9/F9,0)</f>
        <v>-0.00408421961188934</v>
      </c>
      <c r="J9" s="17" t="n">
        <f aca="false">IFERROR((B9-B8)/B8,0)</f>
        <v>0.00250884851689851</v>
      </c>
    </row>
    <row r="10" customFormat="false" ht="15" hidden="false" customHeight="false" outlineLevel="0" collapsed="false">
      <c r="A10" s="8" t="s">
        <v>506</v>
      </c>
      <c r="B10" s="24" t="n">
        <f aca="false">SUMIFS(Cleaned_Data!$N$4:$N$243,Cleaned_Data!$C$4:$C$243,$A10)</f>
        <v>253749.4465</v>
      </c>
      <c r="C10" s="24" t="n">
        <f aca="false">SUMIFS(Cleaned_Data!$O$4:$O$243,Cleaned_Data!$C$4:$C$243,$A10)</f>
        <v>152961.53</v>
      </c>
      <c r="D10" s="24" t="n">
        <f aca="false">B10-C10</f>
        <v>100787.9165</v>
      </c>
      <c r="E10" s="15" t="n">
        <f aca="false">IFERROR(D10/B10,0)</f>
        <v>0.397194625998918</v>
      </c>
      <c r="F10" s="24" t="n">
        <f aca="false">SUMIFS(Lookup_Tables!$J$5:$J$52,Lookup_Tables!$H$5:$H$52,$A10)</f>
        <v>245000</v>
      </c>
      <c r="G10" s="24" t="n">
        <f aca="false">SUMIFS(Lookup_Tables!$K$5:$K$52,Lookup_Tables!$H$5:$H$52,$A10)</f>
        <v>198050</v>
      </c>
      <c r="H10" s="25" t="n">
        <f aca="false">B10-F10</f>
        <v>8749.44649999999</v>
      </c>
      <c r="I10" s="15" t="n">
        <f aca="false">IFERROR(H10/F10,0)</f>
        <v>0.0357120265306122</v>
      </c>
      <c r="J10" s="15" t="n">
        <f aca="false">IFERROR((B10-B9)/B9,0)</f>
        <v>0.0111118103127792</v>
      </c>
    </row>
    <row r="11" customFormat="false" ht="15" hidden="false" customHeight="false" outlineLevel="0" collapsed="false">
      <c r="A11" s="11" t="s">
        <v>507</v>
      </c>
      <c r="B11" s="26" t="n">
        <f aca="false">SUMIFS(Cleaned_Data!$N$4:$N$243,Cleaned_Data!$C$4:$C$243,$A11)</f>
        <v>261546.5445</v>
      </c>
      <c r="C11" s="26" t="n">
        <f aca="false">SUMIFS(Cleaned_Data!$O$4:$O$243,Cleaned_Data!$C$4:$C$243,$A11)</f>
        <v>153950.81</v>
      </c>
      <c r="D11" s="26" t="n">
        <f aca="false">B11-C11</f>
        <v>107595.7345</v>
      </c>
      <c r="E11" s="17" t="n">
        <f aca="false">IFERROR(D11/B11,0)</f>
        <v>0.411382741476059</v>
      </c>
      <c r="F11" s="26" t="n">
        <f aca="false">SUMIFS(Lookup_Tables!$J$5:$J$52,Lookup_Tables!$H$5:$H$52,$A11)</f>
        <v>253690</v>
      </c>
      <c r="G11" s="26" t="n">
        <f aca="false">SUMIFS(Lookup_Tables!$K$5:$K$52,Lookup_Tables!$H$5:$H$52,$A11)</f>
        <v>195590</v>
      </c>
      <c r="H11" s="27" t="n">
        <f aca="false">B11-F11</f>
        <v>7856.54449999999</v>
      </c>
      <c r="I11" s="17" t="n">
        <f aca="false">IFERROR(H11/F11,0)</f>
        <v>0.0309690744609562</v>
      </c>
      <c r="J11" s="17" t="n">
        <f aca="false">IFERROR((B11-B10)/B10,0)</f>
        <v>0.0307275468283632</v>
      </c>
    </row>
    <row r="12" customFormat="false" ht="15" hidden="false" customHeight="false" outlineLevel="0" collapsed="false">
      <c r="A12" s="8" t="s">
        <v>508</v>
      </c>
      <c r="B12" s="24" t="n">
        <f aca="false">SUMIFS(Cleaned_Data!$N$4:$N$243,Cleaned_Data!$C$4:$C$243,$A12)</f>
        <v>261949.2365</v>
      </c>
      <c r="C12" s="24" t="n">
        <f aca="false">SUMIFS(Cleaned_Data!$O$4:$O$243,Cleaned_Data!$C$4:$C$243,$A12)</f>
        <v>152967.95</v>
      </c>
      <c r="D12" s="24" t="n">
        <f aca="false">B12-C12</f>
        <v>108981.2865</v>
      </c>
      <c r="E12" s="15" t="n">
        <f aca="false">IFERROR(D12/B12,0)</f>
        <v>0.416039718061938</v>
      </c>
      <c r="F12" s="24" t="n">
        <f aca="false">SUMIFS(Lookup_Tables!$J$5:$J$52,Lookup_Tables!$H$5:$H$52,$A12)</f>
        <v>247420</v>
      </c>
      <c r="G12" s="24" t="n">
        <f aca="false">SUMIFS(Lookup_Tables!$K$5:$K$52,Lookup_Tables!$H$5:$H$52,$A12)</f>
        <v>195930</v>
      </c>
      <c r="H12" s="25" t="n">
        <f aca="false">B12-F12</f>
        <v>14529.2365</v>
      </c>
      <c r="I12" s="15" t="n">
        <f aca="false">IFERROR(H12/F12,0)</f>
        <v>0.0587229670196427</v>
      </c>
      <c r="J12" s="15" t="n">
        <f aca="false">IFERROR((B12-B11)/B11,0)</f>
        <v>0.00153965712209977</v>
      </c>
    </row>
    <row r="13" customFormat="false" ht="15" hidden="false" customHeight="false" outlineLevel="0" collapsed="false">
      <c r="A13" s="11" t="s">
        <v>509</v>
      </c>
      <c r="B13" s="26" t="n">
        <f aca="false">SUMIFS(Cleaned_Data!$N$4:$N$243,Cleaned_Data!$C$4:$C$243,$A13)</f>
        <v>289560.5245</v>
      </c>
      <c r="C13" s="26" t="n">
        <f aca="false">SUMIFS(Cleaned_Data!$O$4:$O$243,Cleaned_Data!$C$4:$C$243,$A13)</f>
        <v>166367.88</v>
      </c>
      <c r="D13" s="26" t="n">
        <f aca="false">B13-C13</f>
        <v>123192.6445</v>
      </c>
      <c r="E13" s="17" t="n">
        <f aca="false">IFERROR(D13/B13,0)</f>
        <v>0.42544695867202</v>
      </c>
      <c r="F13" s="26" t="n">
        <f aca="false">SUMIFS(Lookup_Tables!$J$5:$J$52,Lookup_Tables!$H$5:$H$52,$A13)</f>
        <v>276440</v>
      </c>
      <c r="G13" s="26" t="n">
        <f aca="false">SUMIFS(Lookup_Tables!$K$5:$K$52,Lookup_Tables!$H$5:$H$52,$A13)</f>
        <v>207350</v>
      </c>
      <c r="H13" s="27" t="n">
        <f aca="false">B13-F13</f>
        <v>13120.5245</v>
      </c>
      <c r="I13" s="17" t="n">
        <f aca="false">IFERROR(H13/F13,0)</f>
        <v>0.0474624674432065</v>
      </c>
      <c r="J13" s="17" t="n">
        <f aca="false">IFERROR((B13-B12)/B12,0)</f>
        <v>0.105407018431985</v>
      </c>
    </row>
    <row r="14" customFormat="false" ht="15" hidden="false" customHeight="false" outlineLevel="0" collapsed="false">
      <c r="A14" s="8" t="s">
        <v>510</v>
      </c>
      <c r="B14" s="24" t="n">
        <f aca="false">SUMIFS(Cleaned_Data!$N$4:$N$243,Cleaned_Data!$C$4:$C$243,$A14)</f>
        <v>332865.621</v>
      </c>
      <c r="C14" s="24" t="n">
        <f aca="false">SUMIFS(Cleaned_Data!$O$4:$O$243,Cleaned_Data!$C$4:$C$243,$A14)</f>
        <v>195068.36</v>
      </c>
      <c r="D14" s="24" t="n">
        <f aca="false">B14-C14</f>
        <v>137797.261</v>
      </c>
      <c r="E14" s="15" t="n">
        <f aca="false">IFERROR(D14/B14,0)</f>
        <v>0.413972643332848</v>
      </c>
      <c r="F14" s="24" t="n">
        <f aca="false">SUMIFS(Lookup_Tables!$J$5:$J$52,Lookup_Tables!$H$5:$H$52,$A14)</f>
        <v>329750</v>
      </c>
      <c r="G14" s="24" t="n">
        <f aca="false">SUMIFS(Lookup_Tables!$K$5:$K$52,Lookup_Tables!$H$5:$H$52,$A14)</f>
        <v>250450</v>
      </c>
      <c r="H14" s="25" t="n">
        <f aca="false">B14-F14</f>
        <v>3115.62099999998</v>
      </c>
      <c r="I14" s="15" t="n">
        <f aca="false">IFERROR(H14/F14,0)</f>
        <v>0.009448433661865</v>
      </c>
      <c r="J14" s="15" t="n">
        <f aca="false">IFERROR((B14-B13)/B13,0)</f>
        <v>0.149554558843189</v>
      </c>
    </row>
    <row r="15" customFormat="false" ht="15" hidden="false" customHeight="false" outlineLevel="0" collapsed="false">
      <c r="A15" s="11" t="s">
        <v>511</v>
      </c>
      <c r="B15" s="26" t="n">
        <f aca="false">SUMIFS(Cleaned_Data!$N$4:$N$243,Cleaned_Data!$C$4:$C$243,$A15)</f>
        <v>330908.4675</v>
      </c>
      <c r="C15" s="26" t="n">
        <f aca="false">SUMIFS(Cleaned_Data!$O$4:$O$243,Cleaned_Data!$C$4:$C$243,$A15)</f>
        <v>190644.87</v>
      </c>
      <c r="D15" s="26" t="n">
        <f aca="false">B15-C15</f>
        <v>140263.5975</v>
      </c>
      <c r="E15" s="17" t="n">
        <f aca="false">IFERROR(D15/B15,0)</f>
        <v>0.42387430747749</v>
      </c>
      <c r="F15" s="26" t="n">
        <f aca="false">SUMIFS(Lookup_Tables!$J$5:$J$52,Lookup_Tables!$H$5:$H$52,$A15)</f>
        <v>332020</v>
      </c>
      <c r="G15" s="26" t="n">
        <f aca="false">SUMIFS(Lookup_Tables!$K$5:$K$52,Lookup_Tables!$H$5:$H$52,$A15)</f>
        <v>239340</v>
      </c>
      <c r="H15" s="27" t="n">
        <f aca="false">B15-F15</f>
        <v>-1111.53250000003</v>
      </c>
      <c r="I15" s="17" t="n">
        <f aca="false">IFERROR(H15/F15,0)</f>
        <v>-0.00334778778386853</v>
      </c>
      <c r="J15" s="17" t="n">
        <f aca="false">IFERROR((B15-B14)/B14,0)</f>
        <v>-0.00587971053940718</v>
      </c>
    </row>
    <row r="16" customFormat="false" ht="15" hidden="false" customHeight="false" outlineLevel="0" collapsed="false">
      <c r="A16" s="28" t="s">
        <v>561</v>
      </c>
      <c r="B16" s="29" t="n">
        <f aca="false">SUM(B4:B15)</f>
        <v>3274252.7505</v>
      </c>
      <c r="C16" s="29" t="n">
        <f aca="false">SUM(C4:C15)</f>
        <v>1902033.08</v>
      </c>
      <c r="D16" s="29" t="n">
        <f aca="false">SUM(D4:D15)</f>
        <v>1372219.6705</v>
      </c>
      <c r="E16" s="30" t="n">
        <f aca="false">IFERROR(D16/B16,0)</f>
        <v>0.419093996421154</v>
      </c>
      <c r="F16" s="29" t="n">
        <f aca="false">SUM(F4:F15)</f>
        <v>3191660</v>
      </c>
      <c r="G16" s="29" t="n">
        <f aca="false">SUM(G4:G15)</f>
        <v>2413560</v>
      </c>
      <c r="H16" s="29" t="n">
        <f aca="false">SUM(H4:H15)</f>
        <v>82592.7505</v>
      </c>
      <c r="I16" s="30" t="n">
        <f aca="false">IFERROR(H16/F16,0)</f>
        <v>0.0258776782301373</v>
      </c>
      <c r="J16" s="28"/>
    </row>
    <row r="19" customFormat="false" ht="15" hidden="false" customHeight="false" outlineLevel="0" collapsed="false">
      <c r="A19" s="5" t="s">
        <v>562</v>
      </c>
    </row>
    <row r="20" customFormat="false" ht="15" hidden="false" customHeight="false" outlineLevel="0" collapsed="false">
      <c r="A20" s="7" t="s">
        <v>30</v>
      </c>
      <c r="B20" s="7" t="s">
        <v>563</v>
      </c>
      <c r="C20" s="7" t="s">
        <v>483</v>
      </c>
      <c r="D20" s="7" t="s">
        <v>484</v>
      </c>
    </row>
    <row r="21" customFormat="false" ht="15" hidden="false" customHeight="false" outlineLevel="0" collapsed="false">
      <c r="A21" s="11" t="s">
        <v>55</v>
      </c>
      <c r="B21" s="26" t="n">
        <f aca="false">SUMIFS(Cleaned_Data!$N$4:$N$243,Cleaned_Data!$D$4:$D$243,$A21)</f>
        <v>936068.7685</v>
      </c>
      <c r="C21" s="26" t="n">
        <f aca="false">SUMIFS(Cleaned_Data!$P$4:$P$243,Cleaned_Data!$D$4:$D$243,$A21)</f>
        <v>391571.8785</v>
      </c>
      <c r="D21" s="17" t="n">
        <f aca="false">IFERROR(C21/B21,0)</f>
        <v>0.418315290154881</v>
      </c>
    </row>
    <row r="22" customFormat="false" ht="15" hidden="false" customHeight="false" outlineLevel="0" collapsed="false">
      <c r="A22" s="11" t="s">
        <v>46</v>
      </c>
      <c r="B22" s="26" t="n">
        <f aca="false">SUMIFS(Cleaned_Data!$N$4:$N$243,Cleaned_Data!$D$4:$D$243,$A22)</f>
        <v>890871.3925</v>
      </c>
      <c r="C22" s="26" t="n">
        <f aca="false">SUMIFS(Cleaned_Data!$P$4:$P$243,Cleaned_Data!$D$4:$D$243,$A22)</f>
        <v>374395.7225</v>
      </c>
      <c r="D22" s="17" t="n">
        <f aca="false">IFERROR(C22/B22,0)</f>
        <v>0.420257879702878</v>
      </c>
    </row>
    <row r="23" customFormat="false" ht="15" hidden="false" customHeight="false" outlineLevel="0" collapsed="false">
      <c r="A23" s="11" t="s">
        <v>61</v>
      </c>
      <c r="B23" s="26" t="n">
        <f aca="false">SUMIFS(Cleaned_Data!$N$4:$N$243,Cleaned_Data!$D$4:$D$243,$A23)</f>
        <v>761503.632</v>
      </c>
      <c r="C23" s="26" t="n">
        <f aca="false">SUMIFS(Cleaned_Data!$P$4:$P$243,Cleaned_Data!$D$4:$D$243,$A23)</f>
        <v>315470.752</v>
      </c>
      <c r="D23" s="17" t="n">
        <f aca="false">IFERROR(C23/B23,0)</f>
        <v>0.414273469939274</v>
      </c>
    </row>
    <row r="24" customFormat="false" ht="15" hidden="false" customHeight="false" outlineLevel="0" collapsed="false">
      <c r="A24" s="11" t="s">
        <v>40</v>
      </c>
      <c r="B24" s="26" t="n">
        <f aca="false">SUMIFS(Cleaned_Data!$N$4:$N$243,Cleaned_Data!$D$4:$D$243,$A24)</f>
        <v>685808.9575</v>
      </c>
      <c r="C24" s="26" t="n">
        <f aca="false">SUMIFS(Cleaned_Data!$P$4:$P$243,Cleaned_Data!$D$4:$D$243,$A24)</f>
        <v>290781.3175</v>
      </c>
      <c r="D24" s="17" t="n">
        <f aca="false">IFERROR(C24/B24,0)</f>
        <v>0.423997549638304</v>
      </c>
    </row>
    <row r="26" customFormat="false" ht="15" hidden="false" customHeight="false" outlineLevel="0" collapsed="false">
      <c r="A26" s="5" t="s">
        <v>564</v>
      </c>
    </row>
    <row r="27" customFormat="false" ht="15" hidden="false" customHeight="false" outlineLevel="0" collapsed="false">
      <c r="A27" s="7" t="s">
        <v>31</v>
      </c>
      <c r="B27" s="7" t="s">
        <v>32</v>
      </c>
      <c r="C27" s="7" t="s">
        <v>563</v>
      </c>
      <c r="D27" s="7" t="s">
        <v>483</v>
      </c>
      <c r="E27" s="7" t="s">
        <v>484</v>
      </c>
    </row>
    <row r="28" customFormat="false" ht="15" hidden="false" customHeight="false" outlineLevel="0" collapsed="false">
      <c r="A28" s="11" t="s">
        <v>51</v>
      </c>
      <c r="B28" s="11" t="s">
        <v>52</v>
      </c>
      <c r="C28" s="26" t="n">
        <f aca="false">SUMIFS(Cleaned_Data!$N$4:$N$243,Cleaned_Data!$E$4:$E$243,$A28)</f>
        <v>1094651.103</v>
      </c>
      <c r="D28" s="26" t="n">
        <f aca="false">SUMIFS(Cleaned_Data!$P$4:$P$243,Cleaned_Data!$E$4:$E$243,$A28)</f>
        <v>408258.323</v>
      </c>
      <c r="E28" s="17" t="n">
        <f aca="false">IFERROR(D28/C28,0)</f>
        <v>0.372957485614483</v>
      </c>
    </row>
    <row r="29" customFormat="false" ht="15" hidden="false" customHeight="false" outlineLevel="0" collapsed="false">
      <c r="A29" s="11" t="s">
        <v>56</v>
      </c>
      <c r="B29" s="11" t="s">
        <v>52</v>
      </c>
      <c r="C29" s="26" t="n">
        <f aca="false">SUMIFS(Cleaned_Data!$N$4:$N$243,Cleaned_Data!$E$4:$E$243,$A29)</f>
        <v>830917.8035</v>
      </c>
      <c r="D29" s="26" t="n">
        <f aca="false">SUMIFS(Cleaned_Data!$P$4:$P$243,Cleaned_Data!$E$4:$E$243,$A29)</f>
        <v>303447.8935</v>
      </c>
      <c r="E29" s="17" t="n">
        <f aca="false">IFERROR(D29/C29,0)</f>
        <v>0.365196042522875</v>
      </c>
    </row>
    <row r="30" customFormat="false" ht="15" hidden="false" customHeight="false" outlineLevel="0" collapsed="false">
      <c r="A30" s="11" t="s">
        <v>41</v>
      </c>
      <c r="B30" s="11" t="s">
        <v>42</v>
      </c>
      <c r="C30" s="26" t="n">
        <f aca="false">SUMIFS(Cleaned_Data!$N$4:$N$243,Cleaned_Data!$E$4:$E$243,$A30)</f>
        <v>445169.2865</v>
      </c>
      <c r="D30" s="26" t="n">
        <f aca="false">SUMIFS(Cleaned_Data!$P$4:$P$243,Cleaned_Data!$E$4:$E$243,$A30)</f>
        <v>206914.3865</v>
      </c>
      <c r="E30" s="17" t="n">
        <f aca="false">IFERROR(D30/C30,0)</f>
        <v>0.464799330894541</v>
      </c>
    </row>
    <row r="31" customFormat="false" ht="15" hidden="false" customHeight="false" outlineLevel="0" collapsed="false">
      <c r="A31" s="11" t="s">
        <v>114</v>
      </c>
      <c r="B31" s="11" t="s">
        <v>73</v>
      </c>
      <c r="C31" s="26" t="n">
        <f aca="false">SUMIFS(Cleaned_Data!$N$4:$N$243,Cleaned_Data!$E$4:$E$243,$A31)</f>
        <v>291080.2385</v>
      </c>
      <c r="D31" s="26" t="n">
        <f aca="false">SUMIFS(Cleaned_Data!$P$4:$P$243,Cleaned_Data!$E$4:$E$243,$A31)</f>
        <v>145960.0285</v>
      </c>
      <c r="E31" s="17" t="n">
        <f aca="false">IFERROR(D31/C31,0)</f>
        <v>0.501442589342938</v>
      </c>
    </row>
    <row r="32" customFormat="false" ht="15" hidden="false" customHeight="false" outlineLevel="0" collapsed="false">
      <c r="A32" s="11" t="s">
        <v>72</v>
      </c>
      <c r="B32" s="11" t="s">
        <v>73</v>
      </c>
      <c r="C32" s="26" t="n">
        <f aca="false">SUMIFS(Cleaned_Data!$N$4:$N$243,Cleaned_Data!$E$4:$E$243,$A32)</f>
        <v>612434.319</v>
      </c>
      <c r="D32" s="26" t="n">
        <f aca="false">SUMIFS(Cleaned_Data!$P$4:$P$243,Cleaned_Data!$E$4:$E$243,$A32)</f>
        <v>307639.039</v>
      </c>
      <c r="E32" s="17" t="n">
        <f aca="false">IFERROR(D32/C32,0)</f>
        <v>0.502321684882587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B7E8"/>
    <pageSetUpPr fitToPage="fals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4"/>
    <col collapsed="false" customWidth="true" hidden="true" outlineLevel="0" max="7" min="7" style="0" width="4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6" t="s">
        <v>565</v>
      </c>
      <c r="B1" s="6"/>
      <c r="C1" s="6"/>
      <c r="D1" s="6"/>
      <c r="E1" s="6"/>
      <c r="F1" s="6"/>
    </row>
    <row r="3" customFormat="false" ht="15" hidden="false" customHeight="false" outlineLevel="0" collapsed="false">
      <c r="A3" s="18" t="s">
        <v>566</v>
      </c>
      <c r="B3" s="18"/>
      <c r="C3" s="18"/>
      <c r="D3" s="18"/>
      <c r="E3" s="31" t="n">
        <v>0</v>
      </c>
      <c r="I3" s="5" t="s">
        <v>567</v>
      </c>
      <c r="J3" s="32" t="n">
        <f aca="false">SLOPE($B$6:$B$17,$G$6:$G$17)</f>
        <v>6235.06111013986</v>
      </c>
    </row>
    <row r="4" customFormat="false" ht="15" hidden="false" customHeight="false" outlineLevel="0" collapsed="false">
      <c r="I4" s="5" t="s">
        <v>568</v>
      </c>
      <c r="J4" s="32" t="n">
        <f aca="false">INTERCEPT($B$6:$B$17,$G$6:$G$17)</f>
        <v>232326.498659091</v>
      </c>
    </row>
    <row r="5" customFormat="false" ht="15" hidden="false" customHeight="false" outlineLevel="0" collapsed="false">
      <c r="A5" s="7" t="s">
        <v>477</v>
      </c>
      <c r="B5" s="7" t="s">
        <v>569</v>
      </c>
      <c r="C5" s="7" t="s">
        <v>570</v>
      </c>
      <c r="D5" s="7" t="s">
        <v>571</v>
      </c>
      <c r="E5" s="7" t="s">
        <v>572</v>
      </c>
    </row>
    <row r="6" customFormat="false" ht="15" hidden="false" customHeight="false" outlineLevel="0" collapsed="false">
      <c r="A6" s="11" t="s">
        <v>493</v>
      </c>
      <c r="B6" s="26" t="n">
        <f aca="false">Financial_Model!B4</f>
        <v>245732.034</v>
      </c>
      <c r="C6" s="11"/>
      <c r="D6" s="26" t="n">
        <f aca="false">$J$3*G6+$J$4</f>
        <v>238561.559769231</v>
      </c>
      <c r="E6" s="26" t="n">
        <f aca="false">D6*(1+$E$3)</f>
        <v>238561.559769231</v>
      </c>
      <c r="G6" s="33" t="n">
        <v>1</v>
      </c>
    </row>
    <row r="7" customFormat="false" ht="15" hidden="false" customHeight="false" outlineLevel="0" collapsed="false">
      <c r="A7" s="11" t="s">
        <v>494</v>
      </c>
      <c r="B7" s="26" t="n">
        <f aca="false">Financial_Model!B5</f>
        <v>255644.9075</v>
      </c>
      <c r="C7" s="11"/>
      <c r="D7" s="26" t="n">
        <f aca="false">$J$3*G7+$J$4</f>
        <v>244796.620879371</v>
      </c>
      <c r="E7" s="26" t="n">
        <f aca="false">D7*(1+$E$3)</f>
        <v>244796.620879371</v>
      </c>
      <c r="G7" s="33" t="n">
        <v>2</v>
      </c>
    </row>
    <row r="8" customFormat="false" ht="15" hidden="false" customHeight="false" outlineLevel="0" collapsed="false">
      <c r="A8" s="11" t="s">
        <v>497</v>
      </c>
      <c r="B8" s="26" t="n">
        <f aca="false">Financial_Model!B6</f>
        <v>258393.8075</v>
      </c>
      <c r="C8" s="26" t="n">
        <f aca="false">AVERAGE(B6:B8)</f>
        <v>253256.916333333</v>
      </c>
      <c r="D8" s="26" t="n">
        <f aca="false">$J$3*G8+$J$4</f>
        <v>251031.68198951</v>
      </c>
      <c r="E8" s="26" t="n">
        <f aca="false">D8*(1+$E$3)</f>
        <v>251031.68198951</v>
      </c>
      <c r="G8" s="33" t="n">
        <v>3</v>
      </c>
    </row>
    <row r="9" customFormat="false" ht="15" hidden="false" customHeight="false" outlineLevel="0" collapsed="false">
      <c r="A9" s="11" t="s">
        <v>502</v>
      </c>
      <c r="B9" s="26" t="n">
        <f aca="false">Financial_Model!B7</f>
        <v>282608.573</v>
      </c>
      <c r="C9" s="26" t="n">
        <f aca="false">AVERAGE(B7:B9)</f>
        <v>265549.096</v>
      </c>
      <c r="D9" s="26" t="n">
        <f aca="false">$J$3*G9+$J$4</f>
        <v>257266.74309965</v>
      </c>
      <c r="E9" s="26" t="n">
        <f aca="false">D9*(1+$E$3)</f>
        <v>257266.74309965</v>
      </c>
      <c r="G9" s="33" t="n">
        <v>4</v>
      </c>
    </row>
    <row r="10" customFormat="false" ht="15" hidden="false" customHeight="false" outlineLevel="0" collapsed="false">
      <c r="A10" s="11" t="s">
        <v>504</v>
      </c>
      <c r="B10" s="26" t="n">
        <f aca="false">Financial_Model!B8</f>
        <v>250332.7705</v>
      </c>
      <c r="C10" s="26" t="n">
        <f aca="false">AVERAGE(B8:B10)</f>
        <v>263778.383666667</v>
      </c>
      <c r="D10" s="26" t="n">
        <f aca="false">$J$3*G10+$J$4</f>
        <v>263501.80420979</v>
      </c>
      <c r="E10" s="26" t="n">
        <f aca="false">D10*(1+$E$3)</f>
        <v>263501.80420979</v>
      </c>
      <c r="G10" s="33" t="n">
        <v>5</v>
      </c>
    </row>
    <row r="11" customFormat="false" ht="15" hidden="false" customHeight="false" outlineLevel="0" collapsed="false">
      <c r="A11" s="11" t="s">
        <v>505</v>
      </c>
      <c r="B11" s="26" t="n">
        <f aca="false">Financial_Model!B9</f>
        <v>250960.8175</v>
      </c>
      <c r="C11" s="26" t="n">
        <f aca="false">AVERAGE(B9:B11)</f>
        <v>261300.720333333</v>
      </c>
      <c r="D11" s="26" t="n">
        <f aca="false">$J$3*G11+$J$4</f>
        <v>269736.86531993</v>
      </c>
      <c r="E11" s="26" t="n">
        <f aca="false">D11*(1+$E$3)</f>
        <v>269736.86531993</v>
      </c>
      <c r="G11" s="33" t="n">
        <v>6</v>
      </c>
    </row>
    <row r="12" customFormat="false" ht="15" hidden="false" customHeight="false" outlineLevel="0" collapsed="false">
      <c r="A12" s="11" t="s">
        <v>506</v>
      </c>
      <c r="B12" s="26" t="n">
        <f aca="false">Financial_Model!B10</f>
        <v>253749.4465</v>
      </c>
      <c r="C12" s="26" t="n">
        <f aca="false">AVERAGE(B10:B12)</f>
        <v>251681.0115</v>
      </c>
      <c r="D12" s="26" t="n">
        <f aca="false">$J$3*G12+$J$4</f>
        <v>275971.92643007</v>
      </c>
      <c r="E12" s="26" t="n">
        <f aca="false">D12*(1+$E$3)</f>
        <v>275971.92643007</v>
      </c>
      <c r="G12" s="33" t="n">
        <v>7</v>
      </c>
    </row>
    <row r="13" customFormat="false" ht="15" hidden="false" customHeight="false" outlineLevel="0" collapsed="false">
      <c r="A13" s="11" t="s">
        <v>507</v>
      </c>
      <c r="B13" s="26" t="n">
        <f aca="false">Financial_Model!B11</f>
        <v>261546.5445</v>
      </c>
      <c r="C13" s="26" t="n">
        <f aca="false">AVERAGE(B11:B13)</f>
        <v>255418.936166667</v>
      </c>
      <c r="D13" s="26" t="n">
        <f aca="false">$J$3*G13+$J$4</f>
        <v>282206.98754021</v>
      </c>
      <c r="E13" s="26" t="n">
        <f aca="false">D13*(1+$E$3)</f>
        <v>282206.98754021</v>
      </c>
      <c r="G13" s="33" t="n">
        <v>8</v>
      </c>
    </row>
    <row r="14" customFormat="false" ht="15" hidden="false" customHeight="false" outlineLevel="0" collapsed="false">
      <c r="A14" s="11" t="s">
        <v>508</v>
      </c>
      <c r="B14" s="26" t="n">
        <f aca="false">Financial_Model!B12</f>
        <v>261949.2365</v>
      </c>
      <c r="C14" s="26" t="n">
        <f aca="false">AVERAGE(B12:B14)</f>
        <v>259081.7425</v>
      </c>
      <c r="D14" s="26" t="n">
        <f aca="false">$J$3*G14+$J$4</f>
        <v>288442.04865035</v>
      </c>
      <c r="E14" s="26" t="n">
        <f aca="false">D14*(1+$E$3)</f>
        <v>288442.04865035</v>
      </c>
      <c r="G14" s="33" t="n">
        <v>9</v>
      </c>
    </row>
    <row r="15" customFormat="false" ht="15" hidden="false" customHeight="false" outlineLevel="0" collapsed="false">
      <c r="A15" s="11" t="s">
        <v>509</v>
      </c>
      <c r="B15" s="26" t="n">
        <f aca="false">Financial_Model!B13</f>
        <v>289560.5245</v>
      </c>
      <c r="C15" s="26" t="n">
        <f aca="false">AVERAGE(B13:B15)</f>
        <v>271018.7685</v>
      </c>
      <c r="D15" s="26" t="n">
        <f aca="false">$J$3*G15+$J$4</f>
        <v>294677.10976049</v>
      </c>
      <c r="E15" s="26" t="n">
        <f aca="false">D15*(1+$E$3)</f>
        <v>294677.10976049</v>
      </c>
      <c r="G15" s="33" t="n">
        <v>10</v>
      </c>
    </row>
    <row r="16" customFormat="false" ht="15" hidden="false" customHeight="false" outlineLevel="0" collapsed="false">
      <c r="A16" s="11" t="s">
        <v>510</v>
      </c>
      <c r="B16" s="26" t="n">
        <f aca="false">Financial_Model!B14</f>
        <v>332865.621</v>
      </c>
      <c r="C16" s="26" t="n">
        <f aca="false">AVERAGE(B14:B16)</f>
        <v>294791.794</v>
      </c>
      <c r="D16" s="26" t="n">
        <f aca="false">$J$3*G16+$J$4</f>
        <v>300912.170870629</v>
      </c>
      <c r="E16" s="26" t="n">
        <f aca="false">D16*(1+$E$3)</f>
        <v>300912.170870629</v>
      </c>
      <c r="G16" s="33" t="n">
        <v>11</v>
      </c>
    </row>
    <row r="17" customFormat="false" ht="15" hidden="false" customHeight="false" outlineLevel="0" collapsed="false">
      <c r="A17" s="11" t="s">
        <v>511</v>
      </c>
      <c r="B17" s="26" t="n">
        <f aca="false">Financial_Model!B15</f>
        <v>330908.4675</v>
      </c>
      <c r="C17" s="26" t="n">
        <f aca="false">AVERAGE(B15:B17)</f>
        <v>317778.204333333</v>
      </c>
      <c r="D17" s="26" t="n">
        <f aca="false">$J$3*G17+$J$4</f>
        <v>307147.231980769</v>
      </c>
      <c r="E17" s="26" t="n">
        <f aca="false">D17*(1+$E$3)</f>
        <v>307147.231980769</v>
      </c>
      <c r="G17" s="33" t="n">
        <v>12</v>
      </c>
    </row>
    <row r="19" customFormat="false" ht="15" hidden="false" customHeight="false" outlineLevel="0" collapsed="false">
      <c r="A19" s="5" t="s">
        <v>573</v>
      </c>
    </row>
    <row r="20" customFormat="false" ht="15" hidden="false" customHeight="false" outlineLevel="0" collapsed="false">
      <c r="A20" s="7" t="s">
        <v>477</v>
      </c>
      <c r="B20" s="7" t="s">
        <v>574</v>
      </c>
      <c r="C20" s="7" t="s">
        <v>572</v>
      </c>
    </row>
    <row r="21" customFormat="false" ht="15" hidden="false" customHeight="false" outlineLevel="0" collapsed="false">
      <c r="A21" s="11" t="s">
        <v>575</v>
      </c>
      <c r="B21" s="26" t="n">
        <f aca="false">$J$3*13+$J$4</f>
        <v>313382.293090909</v>
      </c>
      <c r="C21" s="26" t="n">
        <f aca="false">B21*(1+$E$3)</f>
        <v>313382.293090909</v>
      </c>
    </row>
    <row r="22" customFormat="false" ht="15" hidden="false" customHeight="false" outlineLevel="0" collapsed="false">
      <c r="A22" s="11" t="s">
        <v>576</v>
      </c>
      <c r="B22" s="26" t="n">
        <f aca="false">$J$3*14+$J$4</f>
        <v>319617.354201049</v>
      </c>
      <c r="C22" s="26" t="n">
        <f aca="false">B22*(1+$E$3)</f>
        <v>319617.354201049</v>
      </c>
    </row>
    <row r="23" customFormat="false" ht="15" hidden="false" customHeight="false" outlineLevel="0" collapsed="false">
      <c r="A23" s="11" t="s">
        <v>577</v>
      </c>
      <c r="B23" s="26" t="n">
        <f aca="false">$J$3*15+$J$4</f>
        <v>325852.415311189</v>
      </c>
      <c r="C23" s="26" t="n">
        <f aca="false">B23*(1+$E$3)</f>
        <v>325852.415311189</v>
      </c>
    </row>
  </sheetData>
  <mergeCells count="2">
    <mergeCell ref="A1:F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B1:L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3" min="2" style="0" width="16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578</v>
      </c>
    </row>
    <row r="4" customFormat="false" ht="19.5" hidden="false" customHeight="true" outlineLevel="0" collapsed="false">
      <c r="B4" s="34" t="s">
        <v>555</v>
      </c>
      <c r="C4" s="34"/>
      <c r="E4" s="35" t="s">
        <v>579</v>
      </c>
      <c r="F4" s="35"/>
      <c r="H4" s="34" t="s">
        <v>580</v>
      </c>
      <c r="I4" s="34"/>
      <c r="K4" s="36" t="s">
        <v>581</v>
      </c>
      <c r="L4" s="36"/>
    </row>
    <row r="5" customFormat="false" ht="30" hidden="false" customHeight="true" outlineLevel="0" collapsed="false">
      <c r="B5" s="37" t="n">
        <f aca="false">Financial_Model!B16</f>
        <v>3274252.7505</v>
      </c>
      <c r="C5" s="37"/>
      <c r="E5" s="38" t="n">
        <f aca="false">Financial_Model!D16</f>
        <v>1372219.6705</v>
      </c>
      <c r="F5" s="38"/>
      <c r="H5" s="39" t="n">
        <f aca="false">Financial_Model!E16</f>
        <v>0.419093996421154</v>
      </c>
      <c r="I5" s="39"/>
      <c r="K5" s="40" t="n">
        <f aca="false">Financial_Model!I16</f>
        <v>0.0258776782301373</v>
      </c>
      <c r="L5" s="40"/>
    </row>
    <row r="6" customFormat="false" ht="19.5" hidden="false" customHeight="true" outlineLevel="0" collapsed="false">
      <c r="B6" s="37"/>
      <c r="C6" s="37"/>
      <c r="E6" s="38"/>
      <c r="F6" s="38"/>
      <c r="H6" s="39"/>
      <c r="I6" s="39"/>
      <c r="K6" s="40"/>
      <c r="L6" s="40"/>
    </row>
    <row r="9" customFormat="false" ht="15" hidden="false" customHeight="false" outlineLevel="0" collapsed="false">
      <c r="B9" s="3" t="s">
        <v>582</v>
      </c>
    </row>
  </sheetData>
  <mergeCells count="8">
    <mergeCell ref="B4:C4"/>
    <mergeCell ref="E4:F4"/>
    <mergeCell ref="H4:I4"/>
    <mergeCell ref="K4:L4"/>
    <mergeCell ref="B5:C6"/>
    <mergeCell ref="E5:F6"/>
    <mergeCell ref="H5:I6"/>
    <mergeCell ref="K5:L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B2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0" min="2" style="0" width="11"/>
  </cols>
  <sheetData>
    <row r="2" customFormat="false" ht="19.7" hidden="false" customHeight="false" outlineLevel="0" collapsed="false">
      <c r="B2" s="1" t="s">
        <v>583</v>
      </c>
    </row>
    <row r="3" customFormat="false" ht="15" hidden="false" customHeight="false" outlineLevel="0" collapsed="false">
      <c r="B3" s="2" t="s">
        <v>584</v>
      </c>
    </row>
    <row r="5" customFormat="false" ht="15" hidden="false" customHeight="false" outlineLevel="0" collapsed="false">
      <c r="B5" s="6" t="s">
        <v>585</v>
      </c>
      <c r="C5" s="6"/>
      <c r="D5" s="6"/>
      <c r="E5" s="6"/>
      <c r="F5" s="6"/>
      <c r="G5" s="6"/>
      <c r="H5" s="6"/>
      <c r="I5" s="6"/>
    </row>
    <row r="6" customFormat="false" ht="27.75" hidden="false" customHeight="true" outlineLevel="0" collapsed="false">
      <c r="B6" s="4" t="str">
        <f aca="false">INDEX(Financial_Model!$A$28:$A$32,MATCH(MAX(Financial_Model!$D$28:$D$32),Financial_Model!$D$28:$D$32,0))&amp;" leads on gross profit; see Financial_Model Product Performance table for the full ranking."</f>
        <v>Product A leads on gross profit; see Financial_Model Product Performance table for the full ranking.</v>
      </c>
      <c r="C6" s="4"/>
      <c r="D6" s="4"/>
      <c r="E6" s="4"/>
      <c r="F6" s="4"/>
      <c r="G6" s="4"/>
      <c r="H6" s="4"/>
      <c r="I6" s="4"/>
    </row>
    <row r="8" customFormat="false" ht="15" hidden="false" customHeight="false" outlineLevel="0" collapsed="false">
      <c r="B8" s="6" t="s">
        <v>586</v>
      </c>
      <c r="C8" s="6"/>
      <c r="D8" s="6"/>
      <c r="E8" s="6"/>
      <c r="F8" s="6"/>
      <c r="G8" s="6"/>
      <c r="H8" s="6"/>
      <c r="I8" s="6"/>
    </row>
    <row r="9" customFormat="false" ht="27.75" hidden="false" customHeight="true" outlineLevel="0" collapsed="false">
      <c r="B9" s="4" t="str">
        <f aca="false">INDEX(Financial_Model!$A$21:$A$24,MATCH(MAX(Financial_Model!$B$21:$B$24),Financial_Model!$B$21:$B$24,0))&amp;" leads on total net revenue for FY2025; check the Dashboard region chart for the month-by-month pattern."</f>
        <v>North America leads on total net revenue for FY2025; check the Dashboard region chart for the month-by-month pattern.</v>
      </c>
      <c r="C9" s="4"/>
      <c r="D9" s="4"/>
      <c r="E9" s="4"/>
      <c r="F9" s="4"/>
      <c r="G9" s="4"/>
      <c r="H9" s="4"/>
      <c r="I9" s="4"/>
    </row>
    <row r="11" customFormat="false" ht="15" hidden="false" customHeight="false" outlineLevel="0" collapsed="false">
      <c r="B11" s="6" t="s">
        <v>587</v>
      </c>
      <c r="C11" s="6"/>
      <c r="D11" s="6"/>
      <c r="E11" s="6"/>
      <c r="F11" s="6"/>
      <c r="G11" s="6"/>
      <c r="H11" s="6"/>
      <c r="I11" s="6"/>
    </row>
    <row r="12" customFormat="false" ht="27.75" hidden="false" customHeight="true" outlineLevel="0" collapsed="false">
      <c r="B12" s="4" t="str">
        <f aca="false">"Revenue vs Budget variance is "&amp;TEXT(Financial_Model!I16,"0.0%")&amp;" for the year — months running below budget (see the Financial_Model Revenue Variance % column) are the ones to review first; discounting above 10% on lower-margin products is the other watch item."</f>
        <v>Revenue vs Budget variance is 2.6% for the year — months running below budget (see the Financial_Model Revenue Variance % column) are the ones to review first; discounting above 10% on lower-margin products is the other watch item.</v>
      </c>
      <c r="C12" s="4"/>
      <c r="D12" s="4"/>
      <c r="E12" s="4"/>
      <c r="F12" s="4"/>
      <c r="G12" s="4"/>
      <c r="H12" s="4"/>
      <c r="I12" s="4"/>
    </row>
    <row r="14" customFormat="false" ht="15" hidden="false" customHeight="false" outlineLevel="0" collapsed="false">
      <c r="B14" s="6" t="s">
        <v>588</v>
      </c>
      <c r="C14" s="6"/>
      <c r="D14" s="6"/>
      <c r="E14" s="6"/>
      <c r="F14" s="6"/>
      <c r="G14" s="6"/>
      <c r="H14" s="6"/>
      <c r="I14" s="6"/>
    </row>
    <row r="15" customFormat="false" ht="27.75" hidden="false" customHeight="true" outlineLevel="0" collapsed="false">
      <c r="B15" s="4" t="str">
        <f aca="false">"The linear trend model projects Q1 2026 monthly revenue near "&amp;TEXT(Forecast!B21,"$#,##0")&amp;" to "&amp;TEXT(Forecast!B23,"$#,##0")&amp;"; use the Forecast sheet What-If cell to stress-test more optimistic or conservative growth assumptions."</f>
        <v>The linear trend model projects Q1 2026 monthly revenue near $313,382 to $325,852; use the Forecast sheet What-If cell to stress-test more optimistic or conservative growth assumptions.</v>
      </c>
      <c r="C15" s="4"/>
      <c r="D15" s="4"/>
      <c r="E15" s="4"/>
      <c r="F15" s="4"/>
      <c r="G15" s="4"/>
      <c r="H15" s="4"/>
      <c r="I15" s="4"/>
    </row>
    <row r="18" customFormat="false" ht="15" hidden="false" customHeight="false" outlineLevel="0" collapsed="false">
      <c r="B18" s="3" t="s">
        <v>589</v>
      </c>
    </row>
    <row r="20" customFormat="false" ht="15" hidden="false" customHeight="false" outlineLevel="0" collapsed="false">
      <c r="B20" s="41" t="s">
        <v>590</v>
      </c>
      <c r="C20" s="41"/>
      <c r="D20" s="41"/>
      <c r="E20" s="41"/>
      <c r="F20" s="41"/>
      <c r="G20" s="41"/>
      <c r="H20" s="41"/>
      <c r="I20" s="41"/>
    </row>
    <row r="21" customFormat="false" ht="15" hidden="false" customHeight="false" outlineLevel="0" collapsed="false">
      <c r="B21" s="41" t="s">
        <v>591</v>
      </c>
      <c r="C21" s="41"/>
      <c r="D21" s="41"/>
      <c r="E21" s="41"/>
      <c r="F21" s="41"/>
      <c r="G21" s="41"/>
      <c r="H21" s="41"/>
      <c r="I21" s="41"/>
    </row>
    <row r="22" customFormat="false" ht="15" hidden="false" customHeight="false" outlineLevel="0" collapsed="false">
      <c r="B22" s="41" t="s">
        <v>592</v>
      </c>
      <c r="C22" s="41"/>
      <c r="D22" s="41"/>
      <c r="E22" s="41"/>
      <c r="F22" s="41"/>
      <c r="G22" s="41"/>
      <c r="H22" s="41"/>
      <c r="I22" s="41"/>
    </row>
    <row r="23" customFormat="false" ht="15" hidden="false" customHeight="false" outlineLevel="0" collapsed="false">
      <c r="B23" s="41" t="s">
        <v>593</v>
      </c>
      <c r="C23" s="41"/>
      <c r="D23" s="41"/>
      <c r="E23" s="41"/>
      <c r="F23" s="41"/>
      <c r="G23" s="41"/>
      <c r="H23" s="41"/>
      <c r="I23" s="41"/>
    </row>
  </sheetData>
  <mergeCells count="12">
    <mergeCell ref="B5:I5"/>
    <mergeCell ref="B6:I6"/>
    <mergeCell ref="B8:I8"/>
    <mergeCell ref="B9:I9"/>
    <mergeCell ref="B11:I11"/>
    <mergeCell ref="B12:I12"/>
    <mergeCell ref="B14:I14"/>
    <mergeCell ref="B15:I15"/>
    <mergeCell ref="B20:I20"/>
    <mergeCell ref="B21:I21"/>
    <mergeCell ref="B22:I22"/>
    <mergeCell ref="B23:I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2026-09-24T08:27:43Z</dcterms:created>
  <dc:creator>openpyxl</dc:creator>
  <dc:description/>
  <dc:language>en-US</dc:language>
  <cp:lastModifiedBy/>
  <dcterms:modified xsi:type="dcterms:W3CDTF">2026-09-24T08:27:45Z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